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niffer\Desktop\"/>
    </mc:Choice>
  </mc:AlternateContent>
  <bookViews>
    <workbookView xWindow="0" yWindow="0" windowWidth="11700" windowHeight="6900"/>
  </bookViews>
  <sheets>
    <sheet name="Sheet1" sheetId="1" r:id="rId1"/>
  </sheets>
  <definedNames>
    <definedName name="_xlchart.0" hidden="1">Sheet1!$Q$39</definedName>
    <definedName name="_xlchart.1" hidden="1">Sheet1!$Q$40:$Q$49</definedName>
    <definedName name="_xlchart.2" hidden="1">Sheet1!$Q$39</definedName>
    <definedName name="_xlchart.3" hidden="1">Sheet1!$Q$40:$Q$49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6" i="1" l="1"/>
  <c r="S26" i="1"/>
  <c r="N31" i="1"/>
  <c r="M27" i="1"/>
  <c r="M24" i="1"/>
  <c r="V8" i="1"/>
  <c r="V9" i="1"/>
  <c r="V10" i="1"/>
  <c r="V11" i="1"/>
  <c r="V12" i="1"/>
  <c r="V13" i="1"/>
  <c r="V14" i="1"/>
  <c r="V15" i="1"/>
  <c r="V16" i="1"/>
  <c r="V7" i="1"/>
  <c r="T8" i="1"/>
  <c r="T9" i="1"/>
  <c r="T10" i="1"/>
  <c r="T11" i="1"/>
  <c r="T12" i="1"/>
  <c r="T13" i="1"/>
  <c r="T14" i="1"/>
  <c r="T15" i="1"/>
  <c r="T16" i="1"/>
  <c r="T7" i="1"/>
  <c r="M16" i="1"/>
  <c r="S16" i="1" s="1"/>
  <c r="M15" i="1"/>
  <c r="S15" i="1" s="1"/>
  <c r="M14" i="1"/>
  <c r="U14" i="1" s="1"/>
  <c r="M13" i="1"/>
  <c r="U13" i="1" s="1"/>
  <c r="M12" i="1"/>
  <c r="W12" i="1" s="1"/>
  <c r="M11" i="1"/>
  <c r="S11" i="1" s="1"/>
  <c r="M10" i="1"/>
  <c r="S10" i="1" s="1"/>
  <c r="M9" i="1"/>
  <c r="S9" i="1" s="1"/>
  <c r="M8" i="1"/>
  <c r="S8" i="1" s="1"/>
  <c r="M7" i="1"/>
  <c r="S7" i="1" s="1"/>
  <c r="M3" i="1"/>
  <c r="M2" i="1"/>
  <c r="U11" i="1" l="1"/>
  <c r="U10" i="1"/>
  <c r="S17" i="1"/>
  <c r="Q20" i="1" s="1"/>
  <c r="S14" i="1"/>
  <c r="U12" i="1"/>
  <c r="W11" i="1"/>
  <c r="S13" i="1"/>
  <c r="W10" i="1"/>
  <c r="S12" i="1"/>
  <c r="W7" i="1"/>
  <c r="W9" i="1"/>
  <c r="U7" i="1"/>
  <c r="U9" i="1"/>
  <c r="W16" i="1"/>
  <c r="W8" i="1"/>
  <c r="M17" i="1"/>
  <c r="U16" i="1"/>
  <c r="U8" i="1"/>
  <c r="W15" i="1"/>
  <c r="U15" i="1"/>
  <c r="W14" i="1"/>
  <c r="W13" i="1"/>
  <c r="W17" i="1" l="1"/>
  <c r="W20" i="1" s="1"/>
  <c r="W21" i="1" s="1"/>
  <c r="X15" i="1"/>
  <c r="Y15" i="1" s="1"/>
  <c r="Z15" i="1" s="1"/>
  <c r="X7" i="1"/>
  <c r="Y7" i="1" s="1"/>
  <c r="Z7" i="1" s="1"/>
  <c r="X14" i="1"/>
  <c r="Y14" i="1" s="1"/>
  <c r="Z14" i="1" s="1"/>
  <c r="X13" i="1"/>
  <c r="Y13" i="1" s="1"/>
  <c r="Z13" i="1" s="1"/>
  <c r="X12" i="1"/>
  <c r="Y12" i="1" s="1"/>
  <c r="Z12" i="1" s="1"/>
  <c r="X11" i="1"/>
  <c r="Y11" i="1" s="1"/>
  <c r="Z11" i="1" s="1"/>
  <c r="X10" i="1"/>
  <c r="Y10" i="1" s="1"/>
  <c r="Z10" i="1" s="1"/>
  <c r="X9" i="1"/>
  <c r="Y9" i="1" s="1"/>
  <c r="Z9" i="1" s="1"/>
  <c r="X16" i="1"/>
  <c r="Y16" i="1" s="1"/>
  <c r="Z16" i="1" s="1"/>
  <c r="X8" i="1"/>
  <c r="Y8" i="1" s="1"/>
  <c r="Z8" i="1" s="1"/>
  <c r="U17" i="1"/>
  <c r="U19" i="1" s="1"/>
  <c r="U20" i="1" s="1"/>
  <c r="Z17" i="1" l="1"/>
  <c r="Z19" i="1" s="1"/>
  <c r="Z20" i="1" s="1"/>
</calcChain>
</file>

<file path=xl/sharedStrings.xml><?xml version="1.0" encoding="utf-8"?>
<sst xmlns="http://schemas.openxmlformats.org/spreadsheetml/2006/main" count="5072" uniqueCount="75">
  <si>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</si>
  <si>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</si>
  <si>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</si>
  <si>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</si>
  <si>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</si>
  <si>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</si>
  <si>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</si>
  <si>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</si>
  <si>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</si>
  <si>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</si>
  <si>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</si>
  <si>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</si>
  <si>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</si>
  <si>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min</t>
  </si>
  <si>
    <t>group C</t>
  </si>
  <si>
    <t>some college</t>
  </si>
  <si>
    <t>completed</t>
  </si>
  <si>
    <t>max</t>
  </si>
  <si>
    <t>master's degree</t>
  </si>
  <si>
    <t>male</t>
  </si>
  <si>
    <t>group A</t>
  </si>
  <si>
    <t>associate's degree</t>
  </si>
  <si>
    <t>free/reduced</t>
  </si>
  <si>
    <t>Cls Interval</t>
  </si>
  <si>
    <t>lower limit</t>
  </si>
  <si>
    <t>upper limit</t>
  </si>
  <si>
    <t>0-10</t>
  </si>
  <si>
    <t xml:space="preserve"> 10-20</t>
  </si>
  <si>
    <t>20-30</t>
  </si>
  <si>
    <t>group D</t>
  </si>
  <si>
    <t>high school</t>
  </si>
  <si>
    <t>30-40</t>
  </si>
  <si>
    <t>40-50</t>
  </si>
  <si>
    <t>50-60</t>
  </si>
  <si>
    <t>60-70</t>
  </si>
  <si>
    <t>70-80</t>
  </si>
  <si>
    <t>80-90</t>
  </si>
  <si>
    <t>90-100</t>
  </si>
  <si>
    <t>some high school</t>
  </si>
  <si>
    <t>group E</t>
  </si>
  <si>
    <t>mid value(x)</t>
  </si>
  <si>
    <t>Frequency(f)</t>
  </si>
  <si>
    <t>x*f</t>
  </si>
  <si>
    <t>a.m=</t>
  </si>
  <si>
    <t>y=log(x)</t>
  </si>
  <si>
    <t>y*f</t>
  </si>
  <si>
    <t>sum/n=</t>
  </si>
  <si>
    <t>antilog(gm)</t>
  </si>
  <si>
    <t>1/x</t>
  </si>
  <si>
    <t>f*1/x</t>
  </si>
  <si>
    <t>h.m</t>
  </si>
  <si>
    <t>d=x-mean</t>
  </si>
  <si>
    <t>d^2</t>
  </si>
  <si>
    <t>d^2*f</t>
  </si>
  <si>
    <t>var=</t>
  </si>
  <si>
    <t>s.d</t>
  </si>
  <si>
    <t>(f*1/x)/n</t>
  </si>
  <si>
    <t>less than cf</t>
  </si>
  <si>
    <t>greater than cf</t>
  </si>
  <si>
    <t>median=L+((N/2-cf)/f)*w</t>
  </si>
  <si>
    <t>Median=</t>
  </si>
  <si>
    <t>Q1 cls=L+((N/4-m)/f)*c</t>
  </si>
  <si>
    <t>Q3 cls=L+((3N/4-m)/f)*c</t>
  </si>
  <si>
    <t>q1=</t>
  </si>
  <si>
    <t>q3=</t>
  </si>
  <si>
    <t>median cls</t>
  </si>
  <si>
    <t>q1 cls</t>
  </si>
  <si>
    <t>q3 cls</t>
  </si>
  <si>
    <t>cov=</t>
  </si>
  <si>
    <t>mode=L+((fm-f1)/(2fm-f1-f2))*w</t>
  </si>
  <si>
    <t>mode=</t>
  </si>
  <si>
    <t>modal cls</t>
  </si>
  <si>
    <t>class interval</t>
  </si>
  <si>
    <t>freq</t>
  </si>
  <si>
    <t>mid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</si>
</sst>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7" fontId="0" fillId="0" borderId="0" xfId="0" quotePrefix="1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</a:t>
            </a:r>
            <a:r>
              <a:rPr lang="en-IN" baseline="0"/>
              <a:t> diagram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Sheet1!$Q$39</c:f>
              <c:strCache>
                <c:ptCount val="1"/>
                <c:pt idx="0">
                  <c:v>freq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Sheet1!$P$40:$P$49</c:f>
              <c:numCache>
                <c:formatCode>General</c:formatCode>
                <c:ptCount val="10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55</c:v>
                </c:pt>
                <c:pt idx="6">
                  <c:v>65</c:v>
                </c:pt>
                <c:pt idx="7">
                  <c:v>75</c:v>
                </c:pt>
                <c:pt idx="8">
                  <c:v>85</c:v>
                </c:pt>
                <c:pt idx="9">
                  <c:v>95</c:v>
                </c:pt>
              </c:numCache>
            </c:numRef>
          </c:cat>
          <c:val>
            <c:numRef>
              <c:f>Sheet1!$Q$40:$Q$49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12</c:v>
                </c:pt>
                <c:pt idx="3">
                  <c:v>34</c:v>
                </c:pt>
                <c:pt idx="4">
                  <c:v>100</c:v>
                </c:pt>
                <c:pt idx="5">
                  <c:v>189</c:v>
                </c:pt>
                <c:pt idx="6">
                  <c:v>270</c:v>
                </c:pt>
                <c:pt idx="7">
                  <c:v>215</c:v>
                </c:pt>
                <c:pt idx="8">
                  <c:v>126</c:v>
                </c:pt>
                <c:pt idx="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1-40B5-BEAD-BF143F7D53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3598368"/>
        <c:axId val="773607104"/>
      </c:barChart>
      <c:catAx>
        <c:axId val="773598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Mid</a:t>
                </a:r>
                <a:r>
                  <a:rPr lang="en-IN" baseline="0"/>
                  <a:t> Value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607104"/>
        <c:crosses val="autoZero"/>
        <c:auto val="1"/>
        <c:lblAlgn val="ctr"/>
        <c:lblOffset val="100"/>
        <c:noMultiLvlLbl val="0"/>
      </c:catAx>
      <c:valAx>
        <c:axId val="77360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Frequency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59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</a:t>
            </a:r>
            <a:r>
              <a:rPr lang="en-US" baseline="0"/>
              <a:t> chart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Sheet1!$Q$39</c:f>
              <c:strCache>
                <c:ptCount val="1"/>
                <c:pt idx="0">
                  <c:v>freq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Sheet1!$P$40:$P$49</c:f>
              <c:numCache>
                <c:formatCode>General</c:formatCode>
                <c:ptCount val="10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55</c:v>
                </c:pt>
                <c:pt idx="6">
                  <c:v>65</c:v>
                </c:pt>
                <c:pt idx="7">
                  <c:v>75</c:v>
                </c:pt>
                <c:pt idx="8">
                  <c:v>85</c:v>
                </c:pt>
                <c:pt idx="9">
                  <c:v>95</c:v>
                </c:pt>
              </c:numCache>
            </c:numRef>
          </c:cat>
          <c:val>
            <c:numRef>
              <c:f>Sheet1!$Q$40:$Q$49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12</c:v>
                </c:pt>
                <c:pt idx="3">
                  <c:v>34</c:v>
                </c:pt>
                <c:pt idx="4">
                  <c:v>100</c:v>
                </c:pt>
                <c:pt idx="5">
                  <c:v>189</c:v>
                </c:pt>
                <c:pt idx="6">
                  <c:v>270</c:v>
                </c:pt>
                <c:pt idx="7">
                  <c:v>215</c:v>
                </c:pt>
                <c:pt idx="8">
                  <c:v>126</c:v>
                </c:pt>
                <c:pt idx="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8-4F3A-8643-904DA310E7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3595456"/>
        <c:axId val="773597120"/>
      </c:barChart>
      <c:catAx>
        <c:axId val="773595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Mid</a:t>
                </a:r>
                <a:r>
                  <a:rPr lang="en-IN" baseline="0"/>
                  <a:t> value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597120"/>
        <c:crosses val="autoZero"/>
        <c:auto val="1"/>
        <c:lblAlgn val="ctr"/>
        <c:lblOffset val="100"/>
        <c:noMultiLvlLbl val="0"/>
      </c:catAx>
      <c:valAx>
        <c:axId val="7735971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Frequency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59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Sheet1!$Q$39</c:f>
              <c:strCache>
                <c:ptCount val="1"/>
                <c:pt idx="0">
                  <c:v>freq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Sheet1!$Q$40:$Q$49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12</c:v>
                </c:pt>
                <c:pt idx="3">
                  <c:v>34</c:v>
                </c:pt>
                <c:pt idx="4">
                  <c:v>100</c:v>
                </c:pt>
                <c:pt idx="5">
                  <c:v>189</c:v>
                </c:pt>
                <c:pt idx="6">
                  <c:v>270</c:v>
                </c:pt>
                <c:pt idx="7">
                  <c:v>215</c:v>
                </c:pt>
                <c:pt idx="8">
                  <c:v>126</c:v>
                </c:pt>
                <c:pt idx="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72-4218-BF1D-B1434FDF66D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_xlchart.3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Histogram</a:t>
            </a:r>
          </a:p>
        </cx:rich>
      </cx:tx>
    </cx:title>
    <cx:plotArea>
      <cx:plotAreaRegion>
        <cx:series layoutId="clusteredColumn" uniqueId="{6A21AB8F-9EB3-4BFC-B028-5602038735A0}">
          <cx:tx>
            <cx:txData>
              <cx:f>_xlchart.2</cx:f>
              <cx:v>freq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Sheet1!$R$39</c:f>
              <c:strCache>
                <c:ptCount val="1"/>
                <c:pt idx="0">
                  <c:v>less than cf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Sheet1!$O$40:$O$49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Sheet1!$R$40:$R$49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16</c:v>
                </c:pt>
                <c:pt idx="3">
                  <c:v>50</c:v>
                </c:pt>
                <c:pt idx="4">
                  <c:v>150</c:v>
                </c:pt>
                <c:pt idx="5">
                  <c:v>339</c:v>
                </c:pt>
                <c:pt idx="6">
                  <c:v>609</c:v>
                </c:pt>
                <c:pt idx="7">
                  <c:v>824</c:v>
                </c:pt>
                <c:pt idx="8">
                  <c:v>950</c:v>
                </c:pt>
                <c:pt idx="9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4F-4CE6-90CE-E1C4D6DB7E1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94368704"/>
        <c:axId val="794369952"/>
      </c:scatterChart>
      <c:valAx>
        <c:axId val="79436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upper</a:t>
                </a:r>
                <a:r>
                  <a:rPr lang="en-IN" baseline="0"/>
                  <a:t> limit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369952"/>
        <c:crosses val="autoZero"/>
        <c:crossBetween val="midCat"/>
      </c:valAx>
      <c:valAx>
        <c:axId val="79436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Less</a:t>
                </a:r>
                <a:r>
                  <a:rPr lang="en-IN" baseline="0"/>
                  <a:t> than cf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36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Sheet1!$S$39</c:f>
              <c:strCache>
                <c:ptCount val="1"/>
                <c:pt idx="0">
                  <c:v>greater than cf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Sheet1!$N$40:$N$49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xVal>
          <c:yVal>
            <c:numRef>
              <c:f>Sheet1!$S$40:$S$49</c:f>
              <c:numCache>
                <c:formatCode>General</c:formatCode>
                <c:ptCount val="10"/>
                <c:pt idx="0">
                  <c:v>1000</c:v>
                </c:pt>
                <c:pt idx="1">
                  <c:v>998</c:v>
                </c:pt>
                <c:pt idx="2">
                  <c:v>996</c:v>
                </c:pt>
                <c:pt idx="3">
                  <c:v>984</c:v>
                </c:pt>
                <c:pt idx="4">
                  <c:v>950</c:v>
                </c:pt>
                <c:pt idx="5">
                  <c:v>850</c:v>
                </c:pt>
                <c:pt idx="6">
                  <c:v>661</c:v>
                </c:pt>
                <c:pt idx="7">
                  <c:v>391</c:v>
                </c:pt>
                <c:pt idx="8">
                  <c:v>176</c:v>
                </c:pt>
                <c:pt idx="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F0-41FE-9CD2-D2FB2B76E8B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06034784"/>
        <c:axId val="806045600"/>
      </c:scatterChart>
      <c:valAx>
        <c:axId val="80603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lower</a:t>
                </a:r>
                <a:r>
                  <a:rPr lang="en-IN" baseline="0"/>
                  <a:t> limit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045600"/>
        <c:crosses val="autoZero"/>
        <c:crossBetween val="midCat"/>
      </c:valAx>
      <c:valAx>
        <c:axId val="80604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gretaer</a:t>
                </a:r>
                <a:r>
                  <a:rPr lang="en-IN" baseline="0"/>
                  <a:t> than cf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034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423862</xdr:colOff>
      <xdr:row>50</xdr:row>
      <xdr:rowOff>66675</xdr:rowOff>
    </xdr:from>
    <xdr:to>
      <xdr:col>17</xdr:col>
      <xdr:colOff>442912</xdr:colOff>
      <xdr:row>64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138112</xdr:colOff>
      <xdr:row>39</xdr:row>
      <xdr:rowOff>123825</xdr:rowOff>
    </xdr:from>
    <xdr:to>
      <xdr:col>26</xdr:col>
      <xdr:colOff>319087</xdr:colOff>
      <xdr:row>54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319087</xdr:colOff>
      <xdr:row>56</xdr:row>
      <xdr:rowOff>9525</xdr:rowOff>
    </xdr:from>
    <xdr:to>
      <xdr:col>27</xdr:col>
      <xdr:colOff>585787</xdr:colOff>
      <xdr:row>70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361950</xdr:colOff>
      <xdr:row>39</xdr:row>
      <xdr:rowOff>85725</xdr:rowOff>
    </xdr:from>
    <xdr:to>
      <xdr:col>34</xdr:col>
      <xdr:colOff>57150</xdr:colOff>
      <xdr:row>53</xdr:row>
      <xdr:rowOff>161925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5" name="Chart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566737</xdr:colOff>
      <xdr:row>66</xdr:row>
      <xdr:rowOff>9525</xdr:rowOff>
    </xdr:from>
    <xdr:to>
      <xdr:col>17</xdr:col>
      <xdr:colOff>585787</xdr:colOff>
      <xdr:row>80</xdr:row>
      <xdr:rowOff>85725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390525</xdr:colOff>
      <xdr:row>71</xdr:row>
      <xdr:rowOff>66675</xdr:rowOff>
    </xdr:from>
    <xdr:to>
      <xdr:col>28</xdr:col>
      <xdr:colOff>47625</xdr:colOff>
      <xdr:row>85</xdr:row>
      <xdr:rowOff>142875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abSelected="1" topLeftCell="G997" workbookViewId="0">
      <selection activeCell="S39" activeCellId="1" sqref="N39:N49 S39:S49"/>
    </sheetView>
  </sheetViews>
  <sheetFormatPr defaultRowHeight="15" x14ac:dyDescent="0.25"/>
  <cols>
    <col min="9" max="9" width="5.85546875" customWidth="1"/>
    <col min="10" max="10" width="9.28515625" customWidth="1"/>
    <col min="11" max="11" width="10.28515625" customWidth="1"/>
    <col min="12" max="12" width="10.5703125" customWidth="1"/>
    <col min="13" max="15" width="9.7109375" customWidth="1"/>
    <col min="20" max="20" width="10.42578125" customWidth="1"/>
    <col min="24" max="24" width="9.710937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6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  <c r="L2" t="s">
        <v>13</v>
      </c>
      <c r="M2">
        <f>MIN(F2:F1001)</f>
        <v>0</v>
      </c>
    </row>
    <row r="3" spans="1:26" x14ac:dyDescent="0.25">
      <c r="A3" t="s">
        <v>8</v>
      </c>
      <c r="B3" t="s">
        <v>14</v>
      </c>
      <c r="C3" t="s">
        <v>15</v>
      </c>
      <c r="D3" t="s">
        <v>11</v>
      </c>
      <c r="E3" t="s">
        <v>16</v>
      </c>
      <c r="F3">
        <v>69</v>
      </c>
      <c r="G3">
        <v>90</v>
      </c>
      <c r="H3">
        <v>88</v>
      </c>
      <c r="L3" t="s">
        <v>17</v>
      </c>
      <c r="M3">
        <f>MAX(F2:F1001)</f>
        <v>100</v>
      </c>
    </row>
    <row r="4" spans="1:26" x14ac:dyDescent="0.25">
      <c r="A4" t="s">
        <v>8</v>
      </c>
      <c r="B4" t="s">
        <v>9</v>
      </c>
      <c r="C4" t="s">
        <v>18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26" x14ac:dyDescent="0.25">
      <c r="A5" t="s">
        <v>19</v>
      </c>
      <c r="B5" t="s">
        <v>20</v>
      </c>
      <c r="C5" t="s">
        <v>21</v>
      </c>
      <c r="D5" t="s">
        <v>22</v>
      </c>
      <c r="E5" t="s">
        <v>12</v>
      </c>
      <c r="F5">
        <v>47</v>
      </c>
      <c r="G5">
        <v>57</v>
      </c>
      <c r="H5">
        <v>44</v>
      </c>
    </row>
    <row r="6" spans="1:26" ht="30" x14ac:dyDescent="0.25">
      <c r="A6" t="s">
        <v>19</v>
      </c>
      <c r="B6" t="s">
        <v>14</v>
      </c>
      <c r="C6" t="s">
        <v>15</v>
      </c>
      <c r="D6" t="s">
        <v>11</v>
      </c>
      <c r="E6" t="s">
        <v>12</v>
      </c>
      <c r="F6">
        <v>76</v>
      </c>
      <c r="G6">
        <v>78</v>
      </c>
      <c r="H6">
        <v>75</v>
      </c>
      <c r="L6" s="3" t="s">
        <v>23</v>
      </c>
      <c r="M6" s="3" t="s">
        <v>41</v>
      </c>
      <c r="N6" s="3" t="s">
        <v>57</v>
      </c>
      <c r="O6" s="3" t="s">
        <v>58</v>
      </c>
      <c r="P6" s="2" t="s">
        <v>24</v>
      </c>
      <c r="Q6" s="3" t="s">
        <v>25</v>
      </c>
      <c r="R6" s="3" t="s">
        <v>40</v>
      </c>
      <c r="S6" s="1" t="s">
        <v>42</v>
      </c>
      <c r="T6" t="s">
        <v>44</v>
      </c>
      <c r="U6" t="s">
        <v>45</v>
      </c>
      <c r="V6" t="s">
        <v>48</v>
      </c>
      <c r="W6" t="s">
        <v>49</v>
      </c>
      <c r="X6" t="s">
        <v>51</v>
      </c>
      <c r="Y6" t="s">
        <v>52</v>
      </c>
      <c r="Z6" t="s">
        <v>53</v>
      </c>
    </row>
    <row r="7" spans="1:26" x14ac:dyDescent="0.25">
      <c r="A7" t="s">
        <v>8</v>
      </c>
      <c r="B7" t="s">
        <v>9</v>
      </c>
      <c r="C7" t="s">
        <v>21</v>
      </c>
      <c r="D7" t="s">
        <v>11</v>
      </c>
      <c r="E7" t="s">
        <v>12</v>
      </c>
      <c r="F7">
        <v>71</v>
      </c>
      <c r="G7">
        <v>83</v>
      </c>
      <c r="H7">
        <v>78</v>
      </c>
      <c r="L7" s="4" t="s">
        <v>26</v>
      </c>
      <c r="M7">
        <f>COUNTIF(F2:F1001,"&lt;=10")</f>
        <v>2</v>
      </c>
      <c r="N7">
        <v>2</v>
      </c>
      <c r="O7">
        <v>1000</v>
      </c>
      <c r="P7">
        <v>0</v>
      </c>
      <c r="Q7">
        <v>10</v>
      </c>
      <c r="R7">
        <v>5</v>
      </c>
      <c r="S7">
        <f>R7*M7</f>
        <v>10</v>
      </c>
      <c r="T7">
        <f>LOG(R7)</f>
        <v>0.69897000433601886</v>
      </c>
      <c r="U7">
        <f>T7*M7</f>
        <v>1.3979400086720377</v>
      </c>
      <c r="V7">
        <f>1/(R7)</f>
        <v>0.2</v>
      </c>
      <c r="W7">
        <f>M7*V7</f>
        <v>0.4</v>
      </c>
      <c r="X7">
        <f>R7-Q20</f>
        <v>-60.56</v>
      </c>
      <c r="Y7">
        <f>X7^2</f>
        <v>3667.5136000000002</v>
      </c>
      <c r="Z7">
        <f>Y7*M7</f>
        <v>7335.0272000000004</v>
      </c>
    </row>
    <row r="8" spans="1:26" x14ac:dyDescent="0.25">
      <c r="A8" t="s">
        <v>8</v>
      </c>
      <c r="B8" t="s">
        <v>9</v>
      </c>
      <c r="C8" t="s">
        <v>15</v>
      </c>
      <c r="D8" t="s">
        <v>11</v>
      </c>
      <c r="E8" t="s">
        <v>16</v>
      </c>
      <c r="F8">
        <v>88</v>
      </c>
      <c r="G8">
        <v>95</v>
      </c>
      <c r="H8">
        <v>92</v>
      </c>
      <c r="L8" s="5" t="s">
        <v>27</v>
      </c>
      <c r="M8">
        <f>COUNTIFS(F2:F1001,"&gt;10",F2:F1001,"&lt;=20")</f>
        <v>2</v>
      </c>
      <c r="N8">
        <v>4</v>
      </c>
      <c r="O8">
        <v>998</v>
      </c>
      <c r="P8">
        <v>10</v>
      </c>
      <c r="Q8">
        <v>20</v>
      </c>
      <c r="R8">
        <v>15</v>
      </c>
      <c r="S8">
        <f t="shared" ref="S8:S16" si="0">R8*M8</f>
        <v>30</v>
      </c>
      <c r="T8">
        <f t="shared" ref="T8:T16" si="1">LOG(R8)</f>
        <v>1.1760912590556813</v>
      </c>
      <c r="U8">
        <f t="shared" ref="U8:U16" si="2">T8*M8</f>
        <v>2.3521825181113627</v>
      </c>
      <c r="V8">
        <f t="shared" ref="V8:V16" si="3">1/(R8)</f>
        <v>6.6666666666666666E-2</v>
      </c>
      <c r="W8">
        <f t="shared" ref="W8:W16" si="4">M8*V8</f>
        <v>0.13333333333333333</v>
      </c>
      <c r="X8">
        <f>R8-Q20</f>
        <v>-50.56</v>
      </c>
      <c r="Y8">
        <f t="shared" ref="Y8:Y16" si="5">X8^2</f>
        <v>2556.3136000000004</v>
      </c>
      <c r="Z8">
        <f t="shared" ref="Z8:Z16" si="6">Y8*M8</f>
        <v>5112.6272000000008</v>
      </c>
    </row>
    <row r="9" spans="1:26" x14ac:dyDescent="0.25">
      <c r="A9" t="s">
        <v>19</v>
      </c>
      <c r="B9" t="s">
        <v>9</v>
      </c>
      <c r="C9" t="s">
        <v>15</v>
      </c>
      <c r="D9" t="s">
        <v>22</v>
      </c>
      <c r="E9" t="s">
        <v>12</v>
      </c>
      <c r="F9">
        <v>40</v>
      </c>
      <c r="G9">
        <v>43</v>
      </c>
      <c r="H9">
        <v>39</v>
      </c>
      <c r="L9" s="4" t="s">
        <v>28</v>
      </c>
      <c r="M9">
        <f>COUNTIFS(F2:F1001,"&gt;20",F2:F1001,"&lt;=30")</f>
        <v>12</v>
      </c>
      <c r="N9">
        <v>16</v>
      </c>
      <c r="O9">
        <v>996</v>
      </c>
      <c r="P9">
        <v>20</v>
      </c>
      <c r="Q9">
        <v>30</v>
      </c>
      <c r="R9">
        <v>25</v>
      </c>
      <c r="S9">
        <f t="shared" si="0"/>
        <v>300</v>
      </c>
      <c r="T9">
        <f t="shared" si="1"/>
        <v>1.3979400086720377</v>
      </c>
      <c r="U9">
        <f t="shared" si="2"/>
        <v>16.775280104064453</v>
      </c>
      <c r="V9">
        <f t="shared" si="3"/>
        <v>0.04</v>
      </c>
      <c r="W9">
        <f t="shared" si="4"/>
        <v>0.48</v>
      </c>
      <c r="X9">
        <f>R9-Q20</f>
        <v>-40.56</v>
      </c>
      <c r="Y9">
        <f t="shared" si="5"/>
        <v>1645.1136000000001</v>
      </c>
      <c r="Z9">
        <f t="shared" si="6"/>
        <v>19741.3632</v>
      </c>
    </row>
    <row r="10" spans="1:26" x14ac:dyDescent="0.25">
      <c r="A10" t="s">
        <v>19</v>
      </c>
      <c r="B10" t="s">
        <v>29</v>
      </c>
      <c r="C10" t="s">
        <v>30</v>
      </c>
      <c r="D10" t="s">
        <v>22</v>
      </c>
      <c r="E10" t="s">
        <v>16</v>
      </c>
      <c r="F10">
        <v>64</v>
      </c>
      <c r="G10">
        <v>64</v>
      </c>
      <c r="H10">
        <v>67</v>
      </c>
      <c r="L10" s="4" t="s">
        <v>31</v>
      </c>
      <c r="M10">
        <f>COUNTIFS(F2:F1001,"&gt;30",F2:F1001,"&lt;=40")</f>
        <v>34</v>
      </c>
      <c r="N10">
        <v>50</v>
      </c>
      <c r="O10">
        <v>984</v>
      </c>
      <c r="P10">
        <v>30</v>
      </c>
      <c r="Q10">
        <v>40</v>
      </c>
      <c r="R10">
        <v>35</v>
      </c>
      <c r="S10">
        <f t="shared" si="0"/>
        <v>1190</v>
      </c>
      <c r="T10">
        <f t="shared" si="1"/>
        <v>1.5440680443502757</v>
      </c>
      <c r="U10">
        <f t="shared" si="2"/>
        <v>52.498313507909373</v>
      </c>
      <c r="V10">
        <f t="shared" si="3"/>
        <v>2.8571428571428571E-2</v>
      </c>
      <c r="W10">
        <f t="shared" si="4"/>
        <v>0.97142857142857142</v>
      </c>
      <c r="X10">
        <f>R10-Q20</f>
        <v>-30.560000000000002</v>
      </c>
      <c r="Y10">
        <f t="shared" si="5"/>
        <v>933.91360000000009</v>
      </c>
      <c r="Z10">
        <f t="shared" si="6"/>
        <v>31753.062400000003</v>
      </c>
    </row>
    <row r="11" spans="1:26" x14ac:dyDescent="0.25">
      <c r="A11" t="s">
        <v>8</v>
      </c>
      <c r="B11" t="s">
        <v>9</v>
      </c>
      <c r="C11" t="s">
        <v>30</v>
      </c>
      <c r="D11" t="s">
        <v>22</v>
      </c>
      <c r="E11" t="s">
        <v>12</v>
      </c>
      <c r="F11">
        <v>38</v>
      </c>
      <c r="G11">
        <v>60</v>
      </c>
      <c r="H11">
        <v>50</v>
      </c>
      <c r="L11" s="4" t="s">
        <v>32</v>
      </c>
      <c r="M11">
        <f>COUNTIFS(F2:F1001,"&gt;40",F2:F1001,"&lt;=50")</f>
        <v>100</v>
      </c>
      <c r="N11">
        <v>150</v>
      </c>
      <c r="O11">
        <v>950</v>
      </c>
      <c r="P11">
        <v>40</v>
      </c>
      <c r="Q11">
        <v>50</v>
      </c>
      <c r="R11">
        <v>45</v>
      </c>
      <c r="S11">
        <f t="shared" si="0"/>
        <v>4500</v>
      </c>
      <c r="T11">
        <f t="shared" si="1"/>
        <v>1.6532125137753437</v>
      </c>
      <c r="U11">
        <f t="shared" si="2"/>
        <v>165.32125137753437</v>
      </c>
      <c r="V11">
        <f t="shared" si="3"/>
        <v>2.2222222222222223E-2</v>
      </c>
      <c r="W11">
        <f t="shared" si="4"/>
        <v>2.2222222222222223</v>
      </c>
      <c r="X11">
        <f>R11-Q20</f>
        <v>-20.560000000000002</v>
      </c>
      <c r="Y11">
        <f t="shared" si="5"/>
        <v>422.7136000000001</v>
      </c>
      <c r="Z11">
        <f t="shared" si="6"/>
        <v>42271.360000000008</v>
      </c>
    </row>
    <row r="12" spans="1:26" x14ac:dyDescent="0.25">
      <c r="A12" t="s">
        <v>19</v>
      </c>
      <c r="B12" t="s">
        <v>14</v>
      </c>
      <c r="C12" t="s">
        <v>21</v>
      </c>
      <c r="D12" t="s">
        <v>11</v>
      </c>
      <c r="E12" t="s">
        <v>12</v>
      </c>
      <c r="F12">
        <v>58</v>
      </c>
      <c r="G12">
        <v>54</v>
      </c>
      <c r="H12">
        <v>52</v>
      </c>
      <c r="K12" t="s">
        <v>66</v>
      </c>
      <c r="L12" s="7" t="s">
        <v>33</v>
      </c>
      <c r="M12">
        <f>COUNTIFS(F2:F1001,"&gt;50",F2:F1001,"&lt;=60")</f>
        <v>189</v>
      </c>
      <c r="N12">
        <v>339</v>
      </c>
      <c r="O12">
        <v>850</v>
      </c>
      <c r="P12">
        <v>50</v>
      </c>
      <c r="Q12">
        <v>60</v>
      </c>
      <c r="R12">
        <v>55</v>
      </c>
      <c r="S12">
        <f t="shared" si="0"/>
        <v>10395</v>
      </c>
      <c r="T12">
        <f t="shared" si="1"/>
        <v>1.7403626894942439</v>
      </c>
      <c r="U12">
        <f t="shared" si="2"/>
        <v>328.92854831441207</v>
      </c>
      <c r="V12">
        <f t="shared" si="3"/>
        <v>1.8181818181818181E-2</v>
      </c>
      <c r="W12">
        <f t="shared" si="4"/>
        <v>3.4363636363636361</v>
      </c>
      <c r="X12">
        <f>R12-Q20</f>
        <v>-10.560000000000002</v>
      </c>
      <c r="Y12">
        <f t="shared" si="5"/>
        <v>111.51360000000005</v>
      </c>
      <c r="Z12">
        <f t="shared" si="6"/>
        <v>21076.070400000011</v>
      </c>
    </row>
    <row r="13" spans="1:26" x14ac:dyDescent="0.25">
      <c r="A13" t="s">
        <v>19</v>
      </c>
      <c r="B13" t="s">
        <v>29</v>
      </c>
      <c r="C13" t="s">
        <v>21</v>
      </c>
      <c r="D13" t="s">
        <v>11</v>
      </c>
      <c r="E13" t="s">
        <v>12</v>
      </c>
      <c r="F13">
        <v>40</v>
      </c>
      <c r="G13">
        <v>52</v>
      </c>
      <c r="H13">
        <v>43</v>
      </c>
      <c r="J13" t="s">
        <v>71</v>
      </c>
      <c r="K13" t="s">
        <v>65</v>
      </c>
      <c r="L13" s="6" t="s">
        <v>34</v>
      </c>
      <c r="M13">
        <f>COUNTIFS(F2:F1001,"&gt;60",F2:F1001,"&lt;=70")</f>
        <v>270</v>
      </c>
      <c r="N13">
        <v>609</v>
      </c>
      <c r="O13">
        <v>661</v>
      </c>
      <c r="P13">
        <v>60</v>
      </c>
      <c r="Q13">
        <v>70</v>
      </c>
      <c r="R13">
        <v>65</v>
      </c>
      <c r="S13">
        <f t="shared" si="0"/>
        <v>17550</v>
      </c>
      <c r="T13">
        <f t="shared" si="1"/>
        <v>1.8129133566428555</v>
      </c>
      <c r="U13">
        <f t="shared" si="2"/>
        <v>489.48660629357096</v>
      </c>
      <c r="V13">
        <f t="shared" si="3"/>
        <v>1.5384615384615385E-2</v>
      </c>
      <c r="W13">
        <f t="shared" si="4"/>
        <v>4.1538461538461542</v>
      </c>
      <c r="X13">
        <f>R13-Q20</f>
        <v>-0.56000000000000227</v>
      </c>
      <c r="Y13">
        <f t="shared" si="5"/>
        <v>0.31360000000000254</v>
      </c>
      <c r="Z13">
        <f t="shared" si="6"/>
        <v>84.672000000000693</v>
      </c>
    </row>
    <row r="14" spans="1:26" x14ac:dyDescent="0.25">
      <c r="A14" t="s">
        <v>8</v>
      </c>
      <c r="B14" t="s">
        <v>9</v>
      </c>
      <c r="C14" t="s">
        <v>30</v>
      </c>
      <c r="D14" t="s">
        <v>11</v>
      </c>
      <c r="E14" t="s">
        <v>12</v>
      </c>
      <c r="F14">
        <v>65</v>
      </c>
      <c r="G14">
        <v>81</v>
      </c>
      <c r="H14">
        <v>73</v>
      </c>
      <c r="K14" t="s">
        <v>67</v>
      </c>
      <c r="L14" s="8" t="s">
        <v>35</v>
      </c>
      <c r="M14">
        <f>COUNTIFS(F2:F1001,"&gt;70",F2:F1001,"&lt;=80")</f>
        <v>215</v>
      </c>
      <c r="N14">
        <v>824</v>
      </c>
      <c r="O14">
        <v>391</v>
      </c>
      <c r="P14">
        <v>70</v>
      </c>
      <c r="Q14">
        <v>80</v>
      </c>
      <c r="R14">
        <v>75</v>
      </c>
      <c r="S14">
        <f t="shared" si="0"/>
        <v>16125</v>
      </c>
      <c r="T14">
        <f t="shared" si="1"/>
        <v>1.8750612633917001</v>
      </c>
      <c r="U14">
        <f t="shared" si="2"/>
        <v>403.13817162921555</v>
      </c>
      <c r="V14">
        <f t="shared" si="3"/>
        <v>1.3333333333333334E-2</v>
      </c>
      <c r="W14">
        <f t="shared" si="4"/>
        <v>2.8666666666666667</v>
      </c>
      <c r="X14">
        <f>R14-Q20</f>
        <v>9.4399999999999977</v>
      </c>
      <c r="Y14">
        <f t="shared" si="5"/>
        <v>89.113599999999963</v>
      </c>
      <c r="Z14">
        <f t="shared" si="6"/>
        <v>19159.423999999992</v>
      </c>
    </row>
    <row r="15" spans="1:26" x14ac:dyDescent="0.25">
      <c r="A15" t="s">
        <v>19</v>
      </c>
      <c r="B15" t="s">
        <v>20</v>
      </c>
      <c r="C15" t="s">
        <v>15</v>
      </c>
      <c r="D15" t="s">
        <v>11</v>
      </c>
      <c r="E15" t="s">
        <v>16</v>
      </c>
      <c r="F15">
        <v>78</v>
      </c>
      <c r="G15">
        <v>72</v>
      </c>
      <c r="H15">
        <v>70</v>
      </c>
      <c r="L15" s="4" t="s">
        <v>36</v>
      </c>
      <c r="M15">
        <f>COUNTIFS(F2:F1001,"&gt;80",F2:F1001,"&lt;=90")</f>
        <v>126</v>
      </c>
      <c r="N15">
        <v>950</v>
      </c>
      <c r="O15">
        <v>176</v>
      </c>
      <c r="P15">
        <v>80</v>
      </c>
      <c r="Q15">
        <v>90</v>
      </c>
      <c r="R15">
        <v>85</v>
      </c>
      <c r="S15">
        <f t="shared" si="0"/>
        <v>10710</v>
      </c>
      <c r="T15">
        <f t="shared" si="1"/>
        <v>1.9294189257142926</v>
      </c>
      <c r="U15">
        <f t="shared" si="2"/>
        <v>243.10678464000088</v>
      </c>
      <c r="V15">
        <f t="shared" si="3"/>
        <v>1.1764705882352941E-2</v>
      </c>
      <c r="W15">
        <f t="shared" si="4"/>
        <v>1.4823529411764707</v>
      </c>
      <c r="X15">
        <f>R15-Q20</f>
        <v>19.439999999999998</v>
      </c>
      <c r="Y15">
        <f t="shared" si="5"/>
        <v>377.91359999999992</v>
      </c>
      <c r="Z15">
        <f t="shared" si="6"/>
        <v>47617.11359999999</v>
      </c>
    </row>
    <row r="16" spans="1:26" x14ac:dyDescent="0.25">
      <c r="A16" t="s">
        <v>8</v>
      </c>
      <c r="B16" t="s">
        <v>20</v>
      </c>
      <c r="C16" t="s">
        <v>18</v>
      </c>
      <c r="D16" t="s">
        <v>11</v>
      </c>
      <c r="E16" t="s">
        <v>12</v>
      </c>
      <c r="F16">
        <v>50</v>
      </c>
      <c r="G16">
        <v>53</v>
      </c>
      <c r="H16">
        <v>58</v>
      </c>
      <c r="L16" s="4" t="s">
        <v>37</v>
      </c>
      <c r="M16">
        <f>COUNTIFS(F2:F1001,"&gt;90",F2:F1001,"&lt;=100")</f>
        <v>50</v>
      </c>
      <c r="N16">
        <v>1000</v>
      </c>
      <c r="O16">
        <v>50</v>
      </c>
      <c r="P16">
        <v>90</v>
      </c>
      <c r="Q16">
        <v>100</v>
      </c>
      <c r="R16">
        <v>95</v>
      </c>
      <c r="S16">
        <f t="shared" si="0"/>
        <v>4750</v>
      </c>
      <c r="T16">
        <f t="shared" si="1"/>
        <v>1.9777236052888478</v>
      </c>
      <c r="U16">
        <f t="shared" si="2"/>
        <v>98.886180264442388</v>
      </c>
      <c r="V16">
        <f t="shared" si="3"/>
        <v>1.0526315789473684E-2</v>
      </c>
      <c r="W16">
        <f t="shared" si="4"/>
        <v>0.52631578947368418</v>
      </c>
      <c r="X16">
        <f>R16-Q20</f>
        <v>29.439999999999998</v>
      </c>
      <c r="Y16">
        <f t="shared" si="5"/>
        <v>866.71359999999981</v>
      </c>
      <c r="Z16">
        <f t="shared" si="6"/>
        <v>43335.679999999993</v>
      </c>
    </row>
    <row r="17" spans="1:26" x14ac:dyDescent="0.25">
      <c r="A17" t="s">
        <v>8</v>
      </c>
      <c r="B17" t="s">
        <v>14</v>
      </c>
      <c r="C17" t="s">
        <v>38</v>
      </c>
      <c r="D17" t="s">
        <v>11</v>
      </c>
      <c r="E17" t="s">
        <v>12</v>
      </c>
      <c r="F17">
        <v>69</v>
      </c>
      <c r="G17">
        <v>75</v>
      </c>
      <c r="H17">
        <v>78</v>
      </c>
      <c r="M17">
        <f>SUM(M7:M16)</f>
        <v>1000</v>
      </c>
      <c r="S17">
        <f>SUM(S7:S16)</f>
        <v>65560</v>
      </c>
      <c r="U17">
        <f>SUM(U7:U16)</f>
        <v>1801.8912586579333</v>
      </c>
      <c r="W17">
        <f>SUM(W7:W16)</f>
        <v>16.67252931451074</v>
      </c>
      <c r="Z17">
        <f>SUM(Z7:Z16)</f>
        <v>237486.4</v>
      </c>
    </row>
    <row r="18" spans="1:26" x14ac:dyDescent="0.25">
      <c r="A18" t="s">
        <v>19</v>
      </c>
      <c r="B18" t="s">
        <v>14</v>
      </c>
      <c r="C18" t="s">
        <v>30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26" x14ac:dyDescent="0.25">
      <c r="A19" t="s">
        <v>8</v>
      </c>
      <c r="B19" t="s">
        <v>9</v>
      </c>
      <c r="C19" t="s">
        <v>38</v>
      </c>
      <c r="D19" t="s">
        <v>22</v>
      </c>
      <c r="E19" t="s">
        <v>12</v>
      </c>
      <c r="F19">
        <v>18</v>
      </c>
      <c r="G19">
        <v>32</v>
      </c>
      <c r="H19">
        <v>28</v>
      </c>
      <c r="T19" t="s">
        <v>46</v>
      </c>
      <c r="U19">
        <f>U17/M17</f>
        <v>1.8018912586579334</v>
      </c>
      <c r="Y19" t="s">
        <v>54</v>
      </c>
      <c r="Z19">
        <f>Z17/M17</f>
        <v>237.4864</v>
      </c>
    </row>
    <row r="20" spans="1:26" x14ac:dyDescent="0.25">
      <c r="A20" t="s">
        <v>19</v>
      </c>
      <c r="B20" t="s">
        <v>14</v>
      </c>
      <c r="C20" t="s">
        <v>18</v>
      </c>
      <c r="D20" t="s">
        <v>22</v>
      </c>
      <c r="E20" t="s">
        <v>16</v>
      </c>
      <c r="F20">
        <v>46</v>
      </c>
      <c r="G20">
        <v>42</v>
      </c>
      <c r="H20">
        <v>46</v>
      </c>
      <c r="P20" t="s">
        <v>43</v>
      </c>
      <c r="Q20">
        <f>S17/M17</f>
        <v>65.56</v>
      </c>
      <c r="T20" t="s">
        <v>47</v>
      </c>
      <c r="U20">
        <f>10^(U19)</f>
        <v>63.371101890093556</v>
      </c>
      <c r="V20" t="s">
        <v>56</v>
      </c>
      <c r="W20">
        <f>W17/M17</f>
        <v>1.6672529314510739E-2</v>
      </c>
      <c r="Y20" t="s">
        <v>55</v>
      </c>
      <c r="Z20">
        <f>SQRT(Z19)</f>
        <v>15.410593758840053</v>
      </c>
    </row>
    <row r="21" spans="1:26" x14ac:dyDescent="0.25">
      <c r="A21" t="s">
        <v>8</v>
      </c>
      <c r="B21" t="s">
        <v>14</v>
      </c>
      <c r="C21" t="s">
        <v>21</v>
      </c>
      <c r="D21" t="s">
        <v>22</v>
      </c>
      <c r="E21" t="s">
        <v>12</v>
      </c>
      <c r="F21">
        <v>54</v>
      </c>
      <c r="G21">
        <v>58</v>
      </c>
      <c r="H21">
        <v>61</v>
      </c>
      <c r="V21" t="s">
        <v>50</v>
      </c>
      <c r="W21">
        <f>1/(W20)</f>
        <v>59.978901889208963</v>
      </c>
    </row>
    <row r="22" spans="1:26" x14ac:dyDescent="0.25">
      <c r="A22" t="s">
        <v>19</v>
      </c>
      <c r="B22" t="s">
        <v>29</v>
      </c>
      <c r="C22" t="s">
        <v>30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26" x14ac:dyDescent="0.25">
      <c r="A23" t="s">
        <v>8</v>
      </c>
      <c r="B23" t="s">
        <v>9</v>
      </c>
      <c r="C23" t="s">
        <v>15</v>
      </c>
      <c r="D23" t="s">
        <v>22</v>
      </c>
      <c r="E23" t="s">
        <v>16</v>
      </c>
      <c r="F23">
        <v>65</v>
      </c>
      <c r="G23">
        <v>75</v>
      </c>
      <c r="H23">
        <v>70</v>
      </c>
      <c r="M23" s="9" t="s">
        <v>59</v>
      </c>
      <c r="N23" s="9"/>
      <c r="O23" s="9"/>
      <c r="P23" s="9"/>
    </row>
    <row r="24" spans="1:26" x14ac:dyDescent="0.25">
      <c r="A24" t="s">
        <v>19</v>
      </c>
      <c r="B24" t="s">
        <v>29</v>
      </c>
      <c r="C24" t="s">
        <v>15</v>
      </c>
      <c r="D24" t="s">
        <v>11</v>
      </c>
      <c r="E24" t="s">
        <v>12</v>
      </c>
      <c r="F24">
        <v>44</v>
      </c>
      <c r="G24">
        <v>54</v>
      </c>
      <c r="H24">
        <v>53</v>
      </c>
      <c r="L24" t="s">
        <v>60</v>
      </c>
      <c r="M24">
        <f>60+((1000/2-339)/270)*10</f>
        <v>65.962962962962962</v>
      </c>
    </row>
    <row r="25" spans="1:26" x14ac:dyDescent="0.25">
      <c r="A25" t="s">
        <v>8</v>
      </c>
      <c r="B25" t="s">
        <v>14</v>
      </c>
      <c r="C25" t="s">
        <v>38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26" x14ac:dyDescent="0.25">
      <c r="A26" t="s">
        <v>19</v>
      </c>
      <c r="B26" t="s">
        <v>29</v>
      </c>
      <c r="C26" t="s">
        <v>10</v>
      </c>
      <c r="D26" t="s">
        <v>22</v>
      </c>
      <c r="E26" t="s">
        <v>16</v>
      </c>
      <c r="F26">
        <v>74</v>
      </c>
      <c r="G26">
        <v>71</v>
      </c>
      <c r="H26">
        <v>80</v>
      </c>
      <c r="M26" s="9" t="s">
        <v>61</v>
      </c>
      <c r="N26" s="9"/>
      <c r="O26" s="9"/>
      <c r="P26" s="9"/>
      <c r="R26" t="s">
        <v>68</v>
      </c>
      <c r="S26">
        <f>(Z20/Q20)*100</f>
        <v>23.506091761500993</v>
      </c>
    </row>
    <row r="27" spans="1:26" x14ac:dyDescent="0.25">
      <c r="A27" t="s">
        <v>19</v>
      </c>
      <c r="B27" t="s">
        <v>20</v>
      </c>
      <c r="C27" t="s">
        <v>18</v>
      </c>
      <c r="D27" t="s">
        <v>22</v>
      </c>
      <c r="E27" t="s">
        <v>12</v>
      </c>
      <c r="F27">
        <v>73</v>
      </c>
      <c r="G27">
        <v>74</v>
      </c>
      <c r="H27">
        <v>72</v>
      </c>
      <c r="L27" t="s">
        <v>63</v>
      </c>
      <c r="M27">
        <f>50+((1000/4-150)/189)*10</f>
        <v>55.291005291005291</v>
      </c>
    </row>
    <row r="28" spans="1:26" x14ac:dyDescent="0.25">
      <c r="A28" t="s">
        <v>19</v>
      </c>
      <c r="B28" t="s">
        <v>9</v>
      </c>
      <c r="C28" t="s">
        <v>15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26" x14ac:dyDescent="0.25">
      <c r="A29" t="s">
        <v>8</v>
      </c>
      <c r="B29" t="s">
        <v>14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26" x14ac:dyDescent="0.25">
      <c r="A30" t="s">
        <v>19</v>
      </c>
      <c r="B30" t="s">
        <v>14</v>
      </c>
      <c r="C30" t="s">
        <v>30</v>
      </c>
      <c r="D30" t="s">
        <v>11</v>
      </c>
      <c r="E30" t="s">
        <v>12</v>
      </c>
      <c r="F30">
        <v>70</v>
      </c>
      <c r="G30">
        <v>70</v>
      </c>
      <c r="H30">
        <v>65</v>
      </c>
      <c r="M30" s="9" t="s">
        <v>62</v>
      </c>
      <c r="N30" s="9"/>
      <c r="O30" s="9"/>
      <c r="P30" s="9"/>
    </row>
    <row r="31" spans="1:26" x14ac:dyDescent="0.25">
      <c r="A31" t="s">
        <v>8</v>
      </c>
      <c r="B31" t="s">
        <v>29</v>
      </c>
      <c r="C31" t="s">
        <v>18</v>
      </c>
      <c r="D31" t="s">
        <v>11</v>
      </c>
      <c r="E31" t="s">
        <v>12</v>
      </c>
      <c r="F31">
        <v>62</v>
      </c>
      <c r="G31">
        <v>70</v>
      </c>
      <c r="H31">
        <v>75</v>
      </c>
      <c r="M31" t="s">
        <v>64</v>
      </c>
      <c r="N31">
        <f>70+((3*1000/4-609)/215)*10</f>
        <v>76.558139534883722</v>
      </c>
    </row>
    <row r="32" spans="1:26" x14ac:dyDescent="0.25">
      <c r="A32" t="s">
        <v>8</v>
      </c>
      <c r="B32" t="s">
        <v>29</v>
      </c>
      <c r="C32" t="s">
        <v>15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19" x14ac:dyDescent="0.25">
      <c r="A33" t="s">
        <v>8</v>
      </c>
      <c r="B33" t="s">
        <v>9</v>
      </c>
      <c r="C33" t="s">
        <v>15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19" x14ac:dyDescent="0.25">
      <c r="A34" t="s">
        <v>8</v>
      </c>
      <c r="B34" t="s">
        <v>39</v>
      </c>
      <c r="C34" t="s">
        <v>18</v>
      </c>
      <c r="D34" t="s">
        <v>22</v>
      </c>
      <c r="E34" t="s">
        <v>12</v>
      </c>
      <c r="F34">
        <v>56</v>
      </c>
      <c r="G34">
        <v>72</v>
      </c>
      <c r="H34">
        <v>65</v>
      </c>
      <c r="M34" s="9" t="s">
        <v>69</v>
      </c>
      <c r="N34" s="9"/>
      <c r="O34" s="9"/>
      <c r="P34" s="9"/>
    </row>
    <row r="35" spans="1:19" x14ac:dyDescent="0.25">
      <c r="A35" t="s">
        <v>19</v>
      </c>
      <c r="B35" t="s">
        <v>29</v>
      </c>
      <c r="C35" t="s">
        <v>15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19" x14ac:dyDescent="0.25">
      <c r="A36" t="s">
        <v>19</v>
      </c>
      <c r="B36" t="s">
        <v>39</v>
      </c>
      <c r="C36" t="s">
        <v>15</v>
      </c>
      <c r="D36" t="s">
        <v>11</v>
      </c>
      <c r="E36" t="s">
        <v>12</v>
      </c>
      <c r="F36">
        <v>97</v>
      </c>
      <c r="G36">
        <v>87</v>
      </c>
      <c r="H36">
        <v>82</v>
      </c>
      <c r="M36" t="s">
        <v>70</v>
      </c>
      <c r="N36">
        <f>60+((270-189)/(2*270-189-215))*10</f>
        <v>65.955882352941174</v>
      </c>
    </row>
    <row r="37" spans="1:19" x14ac:dyDescent="0.25">
      <c r="A37" t="s">
        <v>19</v>
      </c>
      <c r="B37" t="s">
        <v>39</v>
      </c>
      <c r="C37" t="s">
        <v>21</v>
      </c>
      <c r="D37" t="s">
        <v>11</v>
      </c>
      <c r="E37" t="s">
        <v>16</v>
      </c>
      <c r="F37">
        <v>81</v>
      </c>
      <c r="G37">
        <v>81</v>
      </c>
      <c r="H37">
        <v>79</v>
      </c>
    </row>
    <row r="38" spans="1:19" x14ac:dyDescent="0.25">
      <c r="A38" t="s">
        <v>8</v>
      </c>
      <c r="B38" t="s">
        <v>29</v>
      </c>
      <c r="C38" t="s">
        <v>21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19" ht="30" x14ac:dyDescent="0.25">
      <c r="A39" t="s">
        <v>8</v>
      </c>
      <c r="B39" t="s">
        <v>29</v>
      </c>
      <c r="C39" t="s">
        <v>38</v>
      </c>
      <c r="D39" t="s">
        <v>22</v>
      </c>
      <c r="E39" t="s">
        <v>12</v>
      </c>
      <c r="F39">
        <v>50</v>
      </c>
      <c r="G39">
        <v>64</v>
      </c>
      <c r="H39">
        <v>59</v>
      </c>
      <c r="M39" s="10" t="s">
        <v>72</v>
      </c>
      <c r="N39" s="10" t="s">
        <v>24</v>
      </c>
      <c r="O39" s="10" t="s">
        <v>25</v>
      </c>
      <c r="P39" s="10" t="s">
        <v>74</v>
      </c>
      <c r="Q39" t="s">
        <v>73</v>
      </c>
      <c r="R39" s="10" t="s">
        <v>57</v>
      </c>
      <c r="S39" s="10" t="s">
        <v>58</v>
      </c>
    </row>
    <row r="40" spans="1:19" x14ac:dyDescent="0.25">
      <c r="A40" t="s">
        <v>8</v>
      </c>
      <c r="B40" t="s">
        <v>29</v>
      </c>
      <c r="C40" t="s">
        <v>21</v>
      </c>
      <c r="D40" t="s">
        <v>22</v>
      </c>
      <c r="E40" t="s">
        <v>16</v>
      </c>
      <c r="F40">
        <v>75</v>
      </c>
      <c r="G40">
        <v>90</v>
      </c>
      <c r="H40">
        <v>88</v>
      </c>
      <c r="M40" t="s">
        <v>26</v>
      </c>
      <c r="N40">
        <v>0</v>
      </c>
      <c r="O40">
        <v>10</v>
      </c>
      <c r="P40">
        <v>5</v>
      </c>
      <c r="Q40">
        <v>2</v>
      </c>
      <c r="R40">
        <v>2</v>
      </c>
      <c r="S40">
        <v>1000</v>
      </c>
    </row>
    <row r="41" spans="1:19" x14ac:dyDescent="0.25">
      <c r="A41" t="s">
        <v>19</v>
      </c>
      <c r="B41" t="s">
        <v>9</v>
      </c>
      <c r="C41" t="s">
        <v>21</v>
      </c>
      <c r="D41" t="s">
        <v>22</v>
      </c>
      <c r="E41" t="s">
        <v>12</v>
      </c>
      <c r="F41">
        <v>57</v>
      </c>
      <c r="G41">
        <v>56</v>
      </c>
      <c r="H41">
        <v>57</v>
      </c>
      <c r="M41" t="s">
        <v>27</v>
      </c>
      <c r="N41">
        <v>10</v>
      </c>
      <c r="O41">
        <v>20</v>
      </c>
      <c r="P41">
        <v>15</v>
      </c>
      <c r="Q41">
        <v>2</v>
      </c>
      <c r="R41">
        <v>4</v>
      </c>
      <c r="S41">
        <v>998</v>
      </c>
    </row>
    <row r="42" spans="1:19" x14ac:dyDescent="0.25">
      <c r="A42" t="s">
        <v>19</v>
      </c>
      <c r="B42" t="s">
        <v>14</v>
      </c>
      <c r="C42" t="s">
        <v>21</v>
      </c>
      <c r="D42" t="s">
        <v>22</v>
      </c>
      <c r="E42" t="s">
        <v>12</v>
      </c>
      <c r="F42">
        <v>55</v>
      </c>
      <c r="G42">
        <v>61</v>
      </c>
      <c r="H42">
        <v>54</v>
      </c>
      <c r="M42" t="s">
        <v>28</v>
      </c>
      <c r="N42">
        <v>20</v>
      </c>
      <c r="O42">
        <v>30</v>
      </c>
      <c r="P42">
        <v>25</v>
      </c>
      <c r="Q42">
        <v>12</v>
      </c>
      <c r="R42">
        <v>16</v>
      </c>
      <c r="S42">
        <v>996</v>
      </c>
    </row>
    <row r="43" spans="1:19" x14ac:dyDescent="0.25">
      <c r="A43" t="s">
        <v>8</v>
      </c>
      <c r="B43" t="s">
        <v>14</v>
      </c>
      <c r="C43" t="s">
        <v>21</v>
      </c>
      <c r="D43" t="s">
        <v>11</v>
      </c>
      <c r="E43" t="s">
        <v>12</v>
      </c>
      <c r="F43">
        <v>58</v>
      </c>
      <c r="G43">
        <v>73</v>
      </c>
      <c r="H43">
        <v>68</v>
      </c>
      <c r="M43" t="s">
        <v>31</v>
      </c>
      <c r="N43">
        <v>30</v>
      </c>
      <c r="O43">
        <v>40</v>
      </c>
      <c r="P43">
        <v>35</v>
      </c>
      <c r="Q43">
        <v>34</v>
      </c>
      <c r="R43">
        <v>50</v>
      </c>
      <c r="S43">
        <v>984</v>
      </c>
    </row>
    <row r="44" spans="1:19" x14ac:dyDescent="0.25">
      <c r="A44" t="s">
        <v>8</v>
      </c>
      <c r="B44" t="s">
        <v>9</v>
      </c>
      <c r="C44" t="s">
        <v>21</v>
      </c>
      <c r="D44" t="s">
        <v>11</v>
      </c>
      <c r="E44" t="s">
        <v>12</v>
      </c>
      <c r="F44">
        <v>53</v>
      </c>
      <c r="G44">
        <v>58</v>
      </c>
      <c r="H44">
        <v>65</v>
      </c>
      <c r="M44" t="s">
        <v>32</v>
      </c>
      <c r="N44">
        <v>40</v>
      </c>
      <c r="O44">
        <v>50</v>
      </c>
      <c r="P44">
        <v>45</v>
      </c>
      <c r="Q44">
        <v>100</v>
      </c>
      <c r="R44">
        <v>150</v>
      </c>
      <c r="S44">
        <v>950</v>
      </c>
    </row>
    <row r="45" spans="1:19" x14ac:dyDescent="0.25">
      <c r="A45" t="s">
        <v>19</v>
      </c>
      <c r="B45" t="s">
        <v>9</v>
      </c>
      <c r="C45" t="s">
        <v>15</v>
      </c>
      <c r="D45" t="s">
        <v>22</v>
      </c>
      <c r="E45" t="s">
        <v>16</v>
      </c>
      <c r="F45">
        <v>59</v>
      </c>
      <c r="G45">
        <v>65</v>
      </c>
      <c r="H45">
        <v>66</v>
      </c>
      <c r="M45" t="s">
        <v>33</v>
      </c>
      <c r="N45">
        <v>50</v>
      </c>
      <c r="O45">
        <v>60</v>
      </c>
      <c r="P45">
        <v>55</v>
      </c>
      <c r="Q45">
        <v>189</v>
      </c>
      <c r="R45">
        <v>339</v>
      </c>
      <c r="S45">
        <v>850</v>
      </c>
    </row>
    <row r="46" spans="1:19" x14ac:dyDescent="0.25">
      <c r="A46" t="s">
        <v>8</v>
      </c>
      <c r="B46" t="s">
        <v>39</v>
      </c>
      <c r="C46" t="s">
        <v>21</v>
      </c>
      <c r="D46" t="s">
        <v>22</v>
      </c>
      <c r="E46" t="s">
        <v>12</v>
      </c>
      <c r="F46">
        <v>50</v>
      </c>
      <c r="G46">
        <v>56</v>
      </c>
      <c r="H46">
        <v>54</v>
      </c>
      <c r="M46" t="s">
        <v>34</v>
      </c>
      <c r="N46">
        <v>60</v>
      </c>
      <c r="O46">
        <v>70</v>
      </c>
      <c r="P46">
        <v>65</v>
      </c>
      <c r="Q46">
        <v>270</v>
      </c>
      <c r="R46">
        <v>609</v>
      </c>
      <c r="S46">
        <v>661</v>
      </c>
    </row>
    <row r="47" spans="1:19" x14ac:dyDescent="0.25">
      <c r="A47" t="s">
        <v>19</v>
      </c>
      <c r="B47" t="s">
        <v>9</v>
      </c>
      <c r="C47" t="s">
        <v>21</v>
      </c>
      <c r="D47" t="s">
        <v>11</v>
      </c>
      <c r="E47" t="s">
        <v>12</v>
      </c>
      <c r="F47">
        <v>65</v>
      </c>
      <c r="G47">
        <v>54</v>
      </c>
      <c r="H47">
        <v>57</v>
      </c>
      <c r="M47" t="s">
        <v>35</v>
      </c>
      <c r="N47">
        <v>70</v>
      </c>
      <c r="O47">
        <v>80</v>
      </c>
      <c r="P47">
        <v>75</v>
      </c>
      <c r="Q47">
        <v>215</v>
      </c>
      <c r="R47">
        <v>824</v>
      </c>
      <c r="S47">
        <v>391</v>
      </c>
    </row>
    <row r="48" spans="1:19" x14ac:dyDescent="0.25">
      <c r="A48" t="s">
        <v>8</v>
      </c>
      <c r="B48" t="s">
        <v>20</v>
      </c>
      <c r="C48" t="s">
        <v>21</v>
      </c>
      <c r="D48" t="s">
        <v>11</v>
      </c>
      <c r="E48" t="s">
        <v>16</v>
      </c>
      <c r="F48">
        <v>55</v>
      </c>
      <c r="G48">
        <v>65</v>
      </c>
      <c r="H48">
        <v>62</v>
      </c>
      <c r="M48" t="s">
        <v>36</v>
      </c>
      <c r="N48">
        <v>80</v>
      </c>
      <c r="O48">
        <v>90</v>
      </c>
      <c r="P48">
        <v>85</v>
      </c>
      <c r="Q48">
        <v>126</v>
      </c>
      <c r="R48">
        <v>950</v>
      </c>
      <c r="S48">
        <v>176</v>
      </c>
    </row>
    <row r="49" spans="1:19" x14ac:dyDescent="0.25">
      <c r="A49" t="s">
        <v>8</v>
      </c>
      <c r="B49" t="s">
        <v>14</v>
      </c>
      <c r="C49" t="s">
        <v>30</v>
      </c>
      <c r="D49" t="s">
        <v>11</v>
      </c>
      <c r="E49" t="s">
        <v>12</v>
      </c>
      <c r="F49">
        <v>66</v>
      </c>
      <c r="G49">
        <v>71</v>
      </c>
      <c r="H49">
        <v>76</v>
      </c>
      <c r="M49" t="s">
        <v>37</v>
      </c>
      <c r="N49">
        <v>90</v>
      </c>
      <c r="O49">
        <v>100</v>
      </c>
      <c r="P49">
        <v>95</v>
      </c>
      <c r="Q49">
        <v>50</v>
      </c>
      <c r="R49">
        <v>1000</v>
      </c>
      <c r="S49">
        <v>50</v>
      </c>
    </row>
    <row r="50" spans="1:19" x14ac:dyDescent="0.25">
      <c r="A50" t="s">
        <v>8</v>
      </c>
      <c r="B50" t="s">
        <v>29</v>
      </c>
      <c r="C50" t="s">
        <v>21</v>
      </c>
      <c r="D50" t="s">
        <v>22</v>
      </c>
      <c r="E50" t="s">
        <v>16</v>
      </c>
      <c r="F50">
        <v>57</v>
      </c>
      <c r="G50">
        <v>74</v>
      </c>
      <c r="H50">
        <v>76</v>
      </c>
    </row>
    <row r="51" spans="1:19" x14ac:dyDescent="0.25">
      <c r="A51" t="s">
        <v>19</v>
      </c>
      <c r="B51" t="s">
        <v>14</v>
      </c>
      <c r="C51" t="s">
        <v>30</v>
      </c>
      <c r="D51" t="s">
        <v>11</v>
      </c>
      <c r="E51" t="s">
        <v>16</v>
      </c>
      <c r="F51">
        <v>82</v>
      </c>
      <c r="G51">
        <v>84</v>
      </c>
      <c r="H51">
        <v>82</v>
      </c>
    </row>
    <row r="52" spans="1:19" x14ac:dyDescent="0.25">
      <c r="A52" t="s">
        <v>19</v>
      </c>
      <c r="B52" t="s">
        <v>39</v>
      </c>
      <c r="C52" t="s">
        <v>15</v>
      </c>
      <c r="D52" t="s">
        <v>11</v>
      </c>
      <c r="E52" t="s">
        <v>12</v>
      </c>
      <c r="F52">
        <v>53</v>
      </c>
      <c r="G52">
        <v>55</v>
      </c>
      <c r="H52">
        <v>48</v>
      </c>
      <c r="N52" s="10"/>
      <c r="O52" s="10"/>
    </row>
    <row r="53" spans="1:19" x14ac:dyDescent="0.25">
      <c r="A53" t="s">
        <v>19</v>
      </c>
      <c r="B53" t="s">
        <v>39</v>
      </c>
      <c r="C53" t="s">
        <v>21</v>
      </c>
      <c r="D53" t="s">
        <v>22</v>
      </c>
      <c r="E53" t="s">
        <v>16</v>
      </c>
      <c r="F53">
        <v>77</v>
      </c>
      <c r="G53">
        <v>69</v>
      </c>
      <c r="H53">
        <v>68</v>
      </c>
    </row>
    <row r="54" spans="1:19" x14ac:dyDescent="0.25">
      <c r="A54" t="s">
        <v>19</v>
      </c>
      <c r="B54" t="s">
        <v>14</v>
      </c>
      <c r="C54" t="s">
        <v>15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19" x14ac:dyDescent="0.25">
      <c r="A55" t="s">
        <v>19</v>
      </c>
      <c r="B55" t="s">
        <v>29</v>
      </c>
      <c r="C55" t="s">
        <v>30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19" x14ac:dyDescent="0.25">
      <c r="A56" t="s">
        <v>8</v>
      </c>
      <c r="B56" t="s">
        <v>14</v>
      </c>
      <c r="C56" t="s">
        <v>38</v>
      </c>
      <c r="D56" t="s">
        <v>22</v>
      </c>
      <c r="E56" t="s">
        <v>16</v>
      </c>
      <c r="F56">
        <v>71</v>
      </c>
      <c r="G56">
        <v>84</v>
      </c>
      <c r="H56">
        <v>87</v>
      </c>
    </row>
    <row r="57" spans="1:19" x14ac:dyDescent="0.25">
      <c r="A57" t="s">
        <v>8</v>
      </c>
      <c r="B57" t="s">
        <v>14</v>
      </c>
      <c r="C57" t="s">
        <v>30</v>
      </c>
      <c r="D57" t="s">
        <v>22</v>
      </c>
      <c r="E57" t="s">
        <v>12</v>
      </c>
      <c r="F57">
        <v>33</v>
      </c>
      <c r="G57">
        <v>41</v>
      </c>
      <c r="H57">
        <v>43</v>
      </c>
    </row>
    <row r="58" spans="1:19" x14ac:dyDescent="0.25">
      <c r="A58" t="s">
        <v>8</v>
      </c>
      <c r="B58" t="s">
        <v>39</v>
      </c>
      <c r="C58" t="s">
        <v>21</v>
      </c>
      <c r="D58" t="s">
        <v>11</v>
      </c>
      <c r="E58" t="s">
        <v>16</v>
      </c>
      <c r="F58">
        <v>82</v>
      </c>
      <c r="G58">
        <v>85</v>
      </c>
      <c r="H58">
        <v>86</v>
      </c>
    </row>
    <row r="59" spans="1:19" x14ac:dyDescent="0.25">
      <c r="A59" t="s">
        <v>19</v>
      </c>
      <c r="B59" t="s">
        <v>29</v>
      </c>
      <c r="C59" t="s">
        <v>21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19" x14ac:dyDescent="0.25">
      <c r="A60" t="s">
        <v>19</v>
      </c>
      <c r="B60" t="s">
        <v>29</v>
      </c>
      <c r="C60" t="s">
        <v>15</v>
      </c>
      <c r="D60" t="s">
        <v>11</v>
      </c>
      <c r="E60" t="s">
        <v>16</v>
      </c>
      <c r="F60">
        <v>58</v>
      </c>
      <c r="G60">
        <v>59</v>
      </c>
      <c r="H60">
        <v>58</v>
      </c>
    </row>
    <row r="61" spans="1:19" x14ac:dyDescent="0.25">
      <c r="A61" t="s">
        <v>8</v>
      </c>
      <c r="B61" t="s">
        <v>14</v>
      </c>
      <c r="C61" t="s">
        <v>38</v>
      </c>
      <c r="D61" t="s">
        <v>22</v>
      </c>
      <c r="E61" t="s">
        <v>12</v>
      </c>
      <c r="F61">
        <v>0</v>
      </c>
      <c r="G61">
        <v>17</v>
      </c>
      <c r="H61">
        <v>10</v>
      </c>
    </row>
    <row r="62" spans="1:19" x14ac:dyDescent="0.25">
      <c r="A62" t="s">
        <v>19</v>
      </c>
      <c r="B62" t="s">
        <v>39</v>
      </c>
      <c r="C62" t="s">
        <v>10</v>
      </c>
      <c r="D62" t="s">
        <v>22</v>
      </c>
      <c r="E62" t="s">
        <v>16</v>
      </c>
      <c r="F62">
        <v>79</v>
      </c>
      <c r="G62">
        <v>74</v>
      </c>
      <c r="H62">
        <v>72</v>
      </c>
    </row>
    <row r="63" spans="1:19" x14ac:dyDescent="0.25">
      <c r="A63" t="s">
        <v>19</v>
      </c>
      <c r="B63" t="s">
        <v>20</v>
      </c>
      <c r="C63" t="s">
        <v>38</v>
      </c>
      <c r="D63" t="s">
        <v>22</v>
      </c>
      <c r="E63" t="s">
        <v>12</v>
      </c>
      <c r="F63">
        <v>39</v>
      </c>
      <c r="G63">
        <v>39</v>
      </c>
      <c r="H63">
        <v>34</v>
      </c>
    </row>
    <row r="64" spans="1:19" x14ac:dyDescent="0.25">
      <c r="A64" t="s">
        <v>19</v>
      </c>
      <c r="B64" t="s">
        <v>20</v>
      </c>
      <c r="C64" t="s">
        <v>21</v>
      </c>
      <c r="D64" t="s">
        <v>22</v>
      </c>
      <c r="E64" t="s">
        <v>12</v>
      </c>
      <c r="F64">
        <v>62</v>
      </c>
      <c r="G64">
        <v>61</v>
      </c>
      <c r="H64">
        <v>55</v>
      </c>
    </row>
    <row r="65" spans="1:8" x14ac:dyDescent="0.25">
      <c r="A65" t="s">
        <v>8</v>
      </c>
      <c r="B65" t="s">
        <v>14</v>
      </c>
      <c r="C65" t="s">
        <v>21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25">
      <c r="A66" t="s">
        <v>8</v>
      </c>
      <c r="B66" t="s">
        <v>29</v>
      </c>
      <c r="C66" t="s">
        <v>38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25">
      <c r="A67" t="s">
        <v>19</v>
      </c>
      <c r="B67" t="s">
        <v>9</v>
      </c>
      <c r="C67" t="s">
        <v>38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25">
      <c r="A68" t="s">
        <v>19</v>
      </c>
      <c r="B68" t="s">
        <v>29</v>
      </c>
      <c r="C68" t="s">
        <v>38</v>
      </c>
      <c r="D68" t="s">
        <v>22</v>
      </c>
      <c r="E68" t="s">
        <v>12</v>
      </c>
      <c r="F68">
        <v>45</v>
      </c>
      <c r="G68">
        <v>37</v>
      </c>
      <c r="H68">
        <v>37</v>
      </c>
    </row>
    <row r="69" spans="1:8" x14ac:dyDescent="0.25">
      <c r="A69" t="s">
        <v>8</v>
      </c>
      <c r="B69" t="s">
        <v>14</v>
      </c>
      <c r="C69" t="s">
        <v>15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25">
      <c r="A70" t="s">
        <v>19</v>
      </c>
      <c r="B70" t="s">
        <v>9</v>
      </c>
      <c r="C70" t="s">
        <v>21</v>
      </c>
      <c r="D70" t="s">
        <v>22</v>
      </c>
      <c r="E70" t="s">
        <v>12</v>
      </c>
      <c r="F70">
        <v>61</v>
      </c>
      <c r="G70">
        <v>58</v>
      </c>
      <c r="H70">
        <v>56</v>
      </c>
    </row>
    <row r="71" spans="1:8" x14ac:dyDescent="0.25">
      <c r="A71" t="s">
        <v>8</v>
      </c>
      <c r="B71" t="s">
        <v>14</v>
      </c>
      <c r="C71" t="s">
        <v>21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25">
      <c r="A72" t="s">
        <v>8</v>
      </c>
      <c r="B72" t="s">
        <v>29</v>
      </c>
      <c r="C72" t="s">
        <v>15</v>
      </c>
      <c r="D72" t="s">
        <v>22</v>
      </c>
      <c r="E72" t="s">
        <v>16</v>
      </c>
      <c r="F72">
        <v>58</v>
      </c>
      <c r="G72">
        <v>63</v>
      </c>
      <c r="H72">
        <v>73</v>
      </c>
    </row>
    <row r="73" spans="1:8" x14ac:dyDescent="0.25">
      <c r="A73" t="s">
        <v>19</v>
      </c>
      <c r="B73" t="s">
        <v>29</v>
      </c>
      <c r="C73" t="s">
        <v>15</v>
      </c>
      <c r="D73" t="s">
        <v>11</v>
      </c>
      <c r="E73" t="s">
        <v>16</v>
      </c>
      <c r="F73">
        <v>63</v>
      </c>
      <c r="G73">
        <v>55</v>
      </c>
      <c r="H73">
        <v>63</v>
      </c>
    </row>
    <row r="74" spans="1:8" x14ac:dyDescent="0.25">
      <c r="A74" t="s">
        <v>8</v>
      </c>
      <c r="B74" t="s">
        <v>20</v>
      </c>
      <c r="C74" t="s">
        <v>21</v>
      </c>
      <c r="D74" t="s">
        <v>22</v>
      </c>
      <c r="E74" t="s">
        <v>12</v>
      </c>
      <c r="F74">
        <v>41</v>
      </c>
      <c r="G74">
        <v>51</v>
      </c>
      <c r="H74">
        <v>48</v>
      </c>
    </row>
    <row r="75" spans="1:8" x14ac:dyDescent="0.25">
      <c r="A75" t="s">
        <v>19</v>
      </c>
      <c r="B75" t="s">
        <v>14</v>
      </c>
      <c r="C75" t="s">
        <v>38</v>
      </c>
      <c r="D75" t="s">
        <v>22</v>
      </c>
      <c r="E75" t="s">
        <v>12</v>
      </c>
      <c r="F75">
        <v>61</v>
      </c>
      <c r="G75">
        <v>57</v>
      </c>
      <c r="H75">
        <v>56</v>
      </c>
    </row>
    <row r="76" spans="1:8" x14ac:dyDescent="0.25">
      <c r="A76" t="s">
        <v>19</v>
      </c>
      <c r="B76" t="s">
        <v>14</v>
      </c>
      <c r="C76" t="s">
        <v>38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25">
      <c r="A77" t="s">
        <v>19</v>
      </c>
      <c r="B77" t="s">
        <v>9</v>
      </c>
      <c r="C77" t="s">
        <v>21</v>
      </c>
      <c r="D77" t="s">
        <v>22</v>
      </c>
      <c r="E77" t="s">
        <v>12</v>
      </c>
      <c r="F77">
        <v>44</v>
      </c>
      <c r="G77">
        <v>41</v>
      </c>
      <c r="H77">
        <v>38</v>
      </c>
    </row>
    <row r="78" spans="1:8" x14ac:dyDescent="0.25">
      <c r="A78" t="s">
        <v>19</v>
      </c>
      <c r="B78" t="s">
        <v>39</v>
      </c>
      <c r="C78" t="s">
        <v>38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25">
      <c r="A79" t="s">
        <v>19</v>
      </c>
      <c r="B79" t="s">
        <v>20</v>
      </c>
      <c r="C79" t="s">
        <v>10</v>
      </c>
      <c r="D79" t="s">
        <v>11</v>
      </c>
      <c r="E79" t="s">
        <v>16</v>
      </c>
      <c r="F79">
        <v>80</v>
      </c>
      <c r="G79">
        <v>78</v>
      </c>
      <c r="H79">
        <v>81</v>
      </c>
    </row>
    <row r="80" spans="1:8" x14ac:dyDescent="0.25">
      <c r="A80" t="s">
        <v>8</v>
      </c>
      <c r="B80" t="s">
        <v>29</v>
      </c>
      <c r="C80" t="s">
        <v>38</v>
      </c>
      <c r="D80" t="s">
        <v>11</v>
      </c>
      <c r="E80" t="s">
        <v>16</v>
      </c>
      <c r="F80">
        <v>61</v>
      </c>
      <c r="G80">
        <v>74</v>
      </c>
      <c r="H80">
        <v>72</v>
      </c>
    </row>
    <row r="81" spans="1:8" x14ac:dyDescent="0.25">
      <c r="A81" t="s">
        <v>8</v>
      </c>
      <c r="B81" t="s">
        <v>39</v>
      </c>
      <c r="C81" t="s">
        <v>18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25">
      <c r="A82" t="s">
        <v>8</v>
      </c>
      <c r="B82" t="s">
        <v>9</v>
      </c>
      <c r="C82" t="s">
        <v>21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25">
      <c r="A83" t="s">
        <v>19</v>
      </c>
      <c r="B83" t="s">
        <v>9</v>
      </c>
      <c r="C83" t="s">
        <v>30</v>
      </c>
      <c r="D83" t="s">
        <v>22</v>
      </c>
      <c r="E83" t="s">
        <v>12</v>
      </c>
      <c r="F83">
        <v>49</v>
      </c>
      <c r="G83">
        <v>45</v>
      </c>
      <c r="H83">
        <v>45</v>
      </c>
    </row>
    <row r="84" spans="1:8" x14ac:dyDescent="0.25">
      <c r="A84" t="s">
        <v>19</v>
      </c>
      <c r="B84" t="s">
        <v>20</v>
      </c>
      <c r="C84" t="s">
        <v>15</v>
      </c>
      <c r="D84" t="s">
        <v>22</v>
      </c>
      <c r="E84" t="s">
        <v>16</v>
      </c>
      <c r="F84">
        <v>50</v>
      </c>
      <c r="G84">
        <v>47</v>
      </c>
      <c r="H84">
        <v>54</v>
      </c>
    </row>
    <row r="85" spans="1:8" x14ac:dyDescent="0.25">
      <c r="A85" t="s">
        <v>19</v>
      </c>
      <c r="B85" t="s">
        <v>39</v>
      </c>
      <c r="C85" t="s">
        <v>21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25">
      <c r="A86" t="s">
        <v>19</v>
      </c>
      <c r="B86" t="s">
        <v>29</v>
      </c>
      <c r="C86" t="s">
        <v>30</v>
      </c>
      <c r="D86" t="s">
        <v>22</v>
      </c>
      <c r="E86" t="s">
        <v>12</v>
      </c>
      <c r="F86">
        <v>42</v>
      </c>
      <c r="G86">
        <v>39</v>
      </c>
      <c r="H86">
        <v>34</v>
      </c>
    </row>
    <row r="87" spans="1:8" x14ac:dyDescent="0.25">
      <c r="A87" t="s">
        <v>8</v>
      </c>
      <c r="B87" t="s">
        <v>14</v>
      </c>
      <c r="C87" t="s">
        <v>15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25">
      <c r="A88" t="s">
        <v>8</v>
      </c>
      <c r="B88" t="s">
        <v>14</v>
      </c>
      <c r="C88" t="s">
        <v>15</v>
      </c>
      <c r="D88" t="s">
        <v>22</v>
      </c>
      <c r="E88" t="s">
        <v>12</v>
      </c>
      <c r="F88">
        <v>76</v>
      </c>
      <c r="G88">
        <v>83</v>
      </c>
      <c r="H88">
        <v>88</v>
      </c>
    </row>
    <row r="89" spans="1:8" x14ac:dyDescent="0.25">
      <c r="A89" t="s">
        <v>8</v>
      </c>
      <c r="B89" t="s">
        <v>29</v>
      </c>
      <c r="C89" t="s">
        <v>21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25">
      <c r="A90" t="s">
        <v>8</v>
      </c>
      <c r="B90" t="s">
        <v>20</v>
      </c>
      <c r="C90" t="s">
        <v>15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25">
      <c r="A91" t="s">
        <v>8</v>
      </c>
      <c r="B91" t="s">
        <v>29</v>
      </c>
      <c r="C91" t="s">
        <v>38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25">
      <c r="A92" t="s">
        <v>8</v>
      </c>
      <c r="B92" t="s">
        <v>14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25">
      <c r="A93" t="s">
        <v>19</v>
      </c>
      <c r="B93" t="s">
        <v>14</v>
      </c>
      <c r="C93" t="s">
        <v>30</v>
      </c>
      <c r="D93" t="s">
        <v>22</v>
      </c>
      <c r="E93" t="s">
        <v>12</v>
      </c>
      <c r="F93">
        <v>27</v>
      </c>
      <c r="G93">
        <v>34</v>
      </c>
      <c r="H93">
        <v>36</v>
      </c>
    </row>
    <row r="94" spans="1:8" x14ac:dyDescent="0.25">
      <c r="A94" t="s">
        <v>19</v>
      </c>
      <c r="B94" t="s">
        <v>14</v>
      </c>
      <c r="C94" t="s">
        <v>30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25">
      <c r="A95" t="s">
        <v>19</v>
      </c>
      <c r="B95" t="s">
        <v>14</v>
      </c>
      <c r="C95" t="s">
        <v>21</v>
      </c>
      <c r="D95" t="s">
        <v>22</v>
      </c>
      <c r="E95" t="s">
        <v>16</v>
      </c>
      <c r="F95">
        <v>43</v>
      </c>
      <c r="G95">
        <v>45</v>
      </c>
      <c r="H95">
        <v>50</v>
      </c>
    </row>
    <row r="96" spans="1:8" x14ac:dyDescent="0.25">
      <c r="A96" t="s">
        <v>8</v>
      </c>
      <c r="B96" t="s">
        <v>9</v>
      </c>
      <c r="C96" t="s">
        <v>15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25">
      <c r="A97" t="s">
        <v>19</v>
      </c>
      <c r="B97" t="s">
        <v>14</v>
      </c>
      <c r="C97" t="s">
        <v>21</v>
      </c>
      <c r="D97" t="s">
        <v>22</v>
      </c>
      <c r="E97" t="s">
        <v>16</v>
      </c>
      <c r="F97">
        <v>78</v>
      </c>
      <c r="G97">
        <v>81</v>
      </c>
      <c r="H97">
        <v>82</v>
      </c>
    </row>
    <row r="98" spans="1:8" x14ac:dyDescent="0.25">
      <c r="A98" t="s">
        <v>19</v>
      </c>
      <c r="B98" t="s">
        <v>9</v>
      </c>
      <c r="C98" t="s">
        <v>38</v>
      </c>
      <c r="D98" t="s">
        <v>11</v>
      </c>
      <c r="E98" t="s">
        <v>16</v>
      </c>
      <c r="F98">
        <v>65</v>
      </c>
      <c r="G98">
        <v>66</v>
      </c>
      <c r="H98">
        <v>62</v>
      </c>
    </row>
    <row r="99" spans="1:8" x14ac:dyDescent="0.25">
      <c r="A99" t="s">
        <v>8</v>
      </c>
      <c r="B99" t="s">
        <v>39</v>
      </c>
      <c r="C99" t="s">
        <v>15</v>
      </c>
      <c r="D99" t="s">
        <v>11</v>
      </c>
      <c r="E99" t="s">
        <v>16</v>
      </c>
      <c r="F99">
        <v>63</v>
      </c>
      <c r="G99">
        <v>72</v>
      </c>
      <c r="H99">
        <v>70</v>
      </c>
    </row>
    <row r="100" spans="1:8" x14ac:dyDescent="0.25">
      <c r="A100" t="s">
        <v>8</v>
      </c>
      <c r="B100" t="s">
        <v>29</v>
      </c>
      <c r="C100" t="s">
        <v>15</v>
      </c>
      <c r="D100" t="s">
        <v>22</v>
      </c>
      <c r="E100" t="s">
        <v>12</v>
      </c>
      <c r="F100">
        <v>58</v>
      </c>
      <c r="G100">
        <v>67</v>
      </c>
      <c r="H100">
        <v>62</v>
      </c>
    </row>
    <row r="101" spans="1:8" x14ac:dyDescent="0.25">
      <c r="A101" t="s">
        <v>8</v>
      </c>
      <c r="B101" t="s">
        <v>29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25">
      <c r="A102" t="s">
        <v>19</v>
      </c>
      <c r="B102" t="s">
        <v>9</v>
      </c>
      <c r="C102" t="s">
        <v>15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25">
      <c r="A103" t="s">
        <v>19</v>
      </c>
      <c r="B103" t="s">
        <v>29</v>
      </c>
      <c r="C103" t="s">
        <v>10</v>
      </c>
      <c r="D103" t="s">
        <v>11</v>
      </c>
      <c r="E103" t="s">
        <v>16</v>
      </c>
      <c r="F103">
        <v>68</v>
      </c>
      <c r="G103">
        <v>74</v>
      </c>
      <c r="H103">
        <v>74</v>
      </c>
    </row>
    <row r="104" spans="1:8" x14ac:dyDescent="0.25">
      <c r="A104" t="s">
        <v>8</v>
      </c>
      <c r="B104" t="s">
        <v>29</v>
      </c>
      <c r="C104" t="s">
        <v>21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25">
      <c r="A105" t="s">
        <v>19</v>
      </c>
      <c r="B105" t="s">
        <v>9</v>
      </c>
      <c r="C105" t="s">
        <v>30</v>
      </c>
      <c r="D105" t="s">
        <v>11</v>
      </c>
      <c r="E105" t="s">
        <v>16</v>
      </c>
      <c r="F105">
        <v>60</v>
      </c>
      <c r="G105">
        <v>44</v>
      </c>
      <c r="H105">
        <v>47</v>
      </c>
    </row>
    <row r="106" spans="1:8" x14ac:dyDescent="0.25">
      <c r="A106" t="s">
        <v>19</v>
      </c>
      <c r="B106" t="s">
        <v>14</v>
      </c>
      <c r="C106" t="s">
        <v>15</v>
      </c>
      <c r="D106" t="s">
        <v>11</v>
      </c>
      <c r="E106" t="s">
        <v>16</v>
      </c>
      <c r="F106">
        <v>98</v>
      </c>
      <c r="G106">
        <v>86</v>
      </c>
      <c r="H106">
        <v>90</v>
      </c>
    </row>
    <row r="107" spans="1:8" x14ac:dyDescent="0.25">
      <c r="A107" t="s">
        <v>8</v>
      </c>
      <c r="B107" t="s">
        <v>14</v>
      </c>
      <c r="C107" t="s">
        <v>15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25">
      <c r="A108" t="s">
        <v>8</v>
      </c>
      <c r="B108" t="s">
        <v>29</v>
      </c>
      <c r="C108" t="s">
        <v>18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25">
      <c r="A109" t="s">
        <v>19</v>
      </c>
      <c r="B109" t="s">
        <v>39</v>
      </c>
      <c r="C109" t="s">
        <v>21</v>
      </c>
      <c r="D109" t="s">
        <v>11</v>
      </c>
      <c r="E109" t="s">
        <v>16</v>
      </c>
      <c r="F109">
        <v>66</v>
      </c>
      <c r="G109">
        <v>63</v>
      </c>
      <c r="H109">
        <v>64</v>
      </c>
    </row>
    <row r="110" spans="1:8" x14ac:dyDescent="0.25">
      <c r="A110" t="s">
        <v>8</v>
      </c>
      <c r="B110" t="s">
        <v>9</v>
      </c>
      <c r="C110" t="s">
        <v>21</v>
      </c>
      <c r="D110" t="s">
        <v>22</v>
      </c>
      <c r="E110" t="s">
        <v>12</v>
      </c>
      <c r="F110">
        <v>52</v>
      </c>
      <c r="G110">
        <v>76</v>
      </c>
      <c r="H110">
        <v>70</v>
      </c>
    </row>
    <row r="111" spans="1:8" x14ac:dyDescent="0.25">
      <c r="A111" t="s">
        <v>8</v>
      </c>
      <c r="B111" t="s">
        <v>9</v>
      </c>
      <c r="C111" t="s">
        <v>38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25">
      <c r="A112" t="s">
        <v>8</v>
      </c>
      <c r="B112" t="s">
        <v>29</v>
      </c>
      <c r="C112" t="s">
        <v>21</v>
      </c>
      <c r="D112" t="s">
        <v>22</v>
      </c>
      <c r="E112" t="s">
        <v>16</v>
      </c>
      <c r="F112">
        <v>77</v>
      </c>
      <c r="G112">
        <v>89</v>
      </c>
      <c r="H112">
        <v>98</v>
      </c>
    </row>
    <row r="113" spans="1:8" x14ac:dyDescent="0.25">
      <c r="A113" t="s">
        <v>19</v>
      </c>
      <c r="B113" t="s">
        <v>14</v>
      </c>
      <c r="C113" t="s">
        <v>30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25">
      <c r="A114" t="s">
        <v>19</v>
      </c>
      <c r="B114" t="s">
        <v>20</v>
      </c>
      <c r="C114" t="s">
        <v>21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25">
      <c r="A115" t="s">
        <v>8</v>
      </c>
      <c r="B115" t="s">
        <v>29</v>
      </c>
      <c r="C115" t="s">
        <v>15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25">
      <c r="A116" t="s">
        <v>8</v>
      </c>
      <c r="B116" t="s">
        <v>39</v>
      </c>
      <c r="C116" t="s">
        <v>10</v>
      </c>
      <c r="D116" t="s">
        <v>11</v>
      </c>
      <c r="E116" t="s">
        <v>16</v>
      </c>
      <c r="F116">
        <v>99</v>
      </c>
      <c r="G116">
        <v>100</v>
      </c>
      <c r="H116">
        <v>100</v>
      </c>
    </row>
    <row r="117" spans="1:8" x14ac:dyDescent="0.25">
      <c r="A117" t="s">
        <v>19</v>
      </c>
      <c r="B117" t="s">
        <v>14</v>
      </c>
      <c r="C117" t="s">
        <v>30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25">
      <c r="A118" t="s">
        <v>8</v>
      </c>
      <c r="B118" t="s">
        <v>9</v>
      </c>
      <c r="C118" t="s">
        <v>10</v>
      </c>
      <c r="D118" t="s">
        <v>22</v>
      </c>
      <c r="E118" t="s">
        <v>12</v>
      </c>
      <c r="F118">
        <v>75</v>
      </c>
      <c r="G118">
        <v>85</v>
      </c>
      <c r="H118">
        <v>82</v>
      </c>
    </row>
    <row r="119" spans="1:8" x14ac:dyDescent="0.25">
      <c r="A119" t="s">
        <v>8</v>
      </c>
      <c r="B119" t="s">
        <v>29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25">
      <c r="A120" t="s">
        <v>8</v>
      </c>
      <c r="B120" t="s">
        <v>29</v>
      </c>
      <c r="C120" t="s">
        <v>38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25">
      <c r="A121" t="s">
        <v>8</v>
      </c>
      <c r="B121" t="s">
        <v>14</v>
      </c>
      <c r="C121" t="s">
        <v>15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25">
      <c r="A122" t="s">
        <v>8</v>
      </c>
      <c r="B122" t="s">
        <v>14</v>
      </c>
      <c r="C122" t="s">
        <v>10</v>
      </c>
      <c r="D122" t="s">
        <v>11</v>
      </c>
      <c r="E122" t="s">
        <v>16</v>
      </c>
      <c r="F122">
        <v>79</v>
      </c>
      <c r="G122">
        <v>92</v>
      </c>
      <c r="H122">
        <v>89</v>
      </c>
    </row>
    <row r="123" spans="1:8" x14ac:dyDescent="0.25">
      <c r="A123" t="s">
        <v>19</v>
      </c>
      <c r="B123" t="s">
        <v>9</v>
      </c>
      <c r="C123" t="s">
        <v>21</v>
      </c>
      <c r="D123" t="s">
        <v>11</v>
      </c>
      <c r="E123" t="s">
        <v>16</v>
      </c>
      <c r="F123">
        <v>91</v>
      </c>
      <c r="G123">
        <v>89</v>
      </c>
      <c r="H123">
        <v>92</v>
      </c>
    </row>
    <row r="124" spans="1:8" x14ac:dyDescent="0.25">
      <c r="A124" t="s">
        <v>8</v>
      </c>
      <c r="B124" t="s">
        <v>14</v>
      </c>
      <c r="C124" t="s">
        <v>15</v>
      </c>
      <c r="D124" t="s">
        <v>11</v>
      </c>
      <c r="E124" t="s">
        <v>16</v>
      </c>
      <c r="F124">
        <v>88</v>
      </c>
      <c r="G124">
        <v>93</v>
      </c>
      <c r="H124">
        <v>93</v>
      </c>
    </row>
    <row r="125" spans="1:8" x14ac:dyDescent="0.25">
      <c r="A125" t="s">
        <v>19</v>
      </c>
      <c r="B125" t="s">
        <v>29</v>
      </c>
      <c r="C125" t="s">
        <v>30</v>
      </c>
      <c r="D125" t="s">
        <v>22</v>
      </c>
      <c r="E125" t="s">
        <v>12</v>
      </c>
      <c r="F125">
        <v>63</v>
      </c>
      <c r="G125">
        <v>57</v>
      </c>
      <c r="H125">
        <v>56</v>
      </c>
    </row>
    <row r="126" spans="1:8" x14ac:dyDescent="0.25">
      <c r="A126" t="s">
        <v>19</v>
      </c>
      <c r="B126" t="s">
        <v>39</v>
      </c>
      <c r="C126" t="s">
        <v>15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25">
      <c r="A127" t="s">
        <v>8</v>
      </c>
      <c r="B127" t="s">
        <v>9</v>
      </c>
      <c r="C127" t="s">
        <v>30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25">
      <c r="A128" t="s">
        <v>19</v>
      </c>
      <c r="B128" t="s">
        <v>9</v>
      </c>
      <c r="C128" t="s">
        <v>38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25">
      <c r="A129" t="s">
        <v>19</v>
      </c>
      <c r="B129" t="s">
        <v>29</v>
      </c>
      <c r="C129" t="s">
        <v>15</v>
      </c>
      <c r="D129" t="s">
        <v>11</v>
      </c>
      <c r="E129" t="s">
        <v>16</v>
      </c>
      <c r="F129">
        <v>65</v>
      </c>
      <c r="G129">
        <v>77</v>
      </c>
      <c r="H129">
        <v>74</v>
      </c>
    </row>
    <row r="130" spans="1:8" x14ac:dyDescent="0.25">
      <c r="A130" t="s">
        <v>19</v>
      </c>
      <c r="B130" t="s">
        <v>29</v>
      </c>
      <c r="C130" t="s">
        <v>18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25">
      <c r="A131" t="s">
        <v>8</v>
      </c>
      <c r="B131" t="s">
        <v>20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25">
      <c r="A132" t="s">
        <v>19</v>
      </c>
      <c r="B132" t="s">
        <v>29</v>
      </c>
      <c r="C132" t="s">
        <v>18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25">
      <c r="A133" t="s">
        <v>19</v>
      </c>
      <c r="B133" t="s">
        <v>14</v>
      </c>
      <c r="C133" t="s">
        <v>38</v>
      </c>
      <c r="D133" t="s">
        <v>22</v>
      </c>
      <c r="E133" t="s">
        <v>16</v>
      </c>
      <c r="F133">
        <v>53</v>
      </c>
      <c r="G133">
        <v>37</v>
      </c>
      <c r="H133">
        <v>40</v>
      </c>
    </row>
    <row r="134" spans="1:8" x14ac:dyDescent="0.25">
      <c r="A134" t="s">
        <v>19</v>
      </c>
      <c r="B134" t="s">
        <v>39</v>
      </c>
      <c r="C134" t="s">
        <v>15</v>
      </c>
      <c r="D134" t="s">
        <v>22</v>
      </c>
      <c r="E134" t="s">
        <v>16</v>
      </c>
      <c r="F134">
        <v>87</v>
      </c>
      <c r="G134">
        <v>74</v>
      </c>
      <c r="H134">
        <v>70</v>
      </c>
    </row>
    <row r="135" spans="1:8" x14ac:dyDescent="0.25">
      <c r="A135" t="s">
        <v>8</v>
      </c>
      <c r="B135" t="s">
        <v>14</v>
      </c>
      <c r="C135" t="s">
        <v>15</v>
      </c>
      <c r="D135" t="s">
        <v>11</v>
      </c>
      <c r="E135" t="s">
        <v>16</v>
      </c>
      <c r="F135">
        <v>75</v>
      </c>
      <c r="G135">
        <v>81</v>
      </c>
      <c r="H135">
        <v>84</v>
      </c>
    </row>
    <row r="136" spans="1:8" x14ac:dyDescent="0.25">
      <c r="A136" t="s">
        <v>19</v>
      </c>
      <c r="B136" t="s">
        <v>29</v>
      </c>
      <c r="C136" t="s">
        <v>10</v>
      </c>
      <c r="D136" t="s">
        <v>22</v>
      </c>
      <c r="E136" t="s">
        <v>16</v>
      </c>
      <c r="F136">
        <v>74</v>
      </c>
      <c r="G136">
        <v>79</v>
      </c>
      <c r="H136">
        <v>75</v>
      </c>
    </row>
    <row r="137" spans="1:8" x14ac:dyDescent="0.25">
      <c r="A137" t="s">
        <v>19</v>
      </c>
      <c r="B137" t="s">
        <v>14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25">
      <c r="A138" t="s">
        <v>19</v>
      </c>
      <c r="B138" t="s">
        <v>9</v>
      </c>
      <c r="C138" t="s">
        <v>38</v>
      </c>
      <c r="D138" t="s">
        <v>11</v>
      </c>
      <c r="E138" t="s">
        <v>16</v>
      </c>
      <c r="F138">
        <v>51</v>
      </c>
      <c r="G138">
        <v>54</v>
      </c>
      <c r="H138">
        <v>41</v>
      </c>
    </row>
    <row r="139" spans="1:8" x14ac:dyDescent="0.25">
      <c r="A139" t="s">
        <v>19</v>
      </c>
      <c r="B139" t="s">
        <v>39</v>
      </c>
      <c r="C139" t="s">
        <v>30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25">
      <c r="A140" t="s">
        <v>8</v>
      </c>
      <c r="B140" t="s">
        <v>14</v>
      </c>
      <c r="C140" t="s">
        <v>21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25">
      <c r="A141" t="s">
        <v>19</v>
      </c>
      <c r="B141" t="s">
        <v>29</v>
      </c>
      <c r="C141" t="s">
        <v>15</v>
      </c>
      <c r="D141" t="s">
        <v>11</v>
      </c>
      <c r="E141" t="s">
        <v>16</v>
      </c>
      <c r="F141">
        <v>71</v>
      </c>
      <c r="G141">
        <v>61</v>
      </c>
      <c r="H141">
        <v>69</v>
      </c>
    </row>
    <row r="142" spans="1:8" x14ac:dyDescent="0.25">
      <c r="A142" t="s">
        <v>8</v>
      </c>
      <c r="B142" t="s">
        <v>29</v>
      </c>
      <c r="C142" t="s">
        <v>38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25">
      <c r="A143" t="s">
        <v>8</v>
      </c>
      <c r="B143" t="s">
        <v>14</v>
      </c>
      <c r="C143" t="s">
        <v>15</v>
      </c>
      <c r="D143" t="s">
        <v>22</v>
      </c>
      <c r="E143" t="s">
        <v>12</v>
      </c>
      <c r="F143">
        <v>59</v>
      </c>
      <c r="G143">
        <v>62</v>
      </c>
      <c r="H143">
        <v>64</v>
      </c>
    </row>
    <row r="144" spans="1:8" x14ac:dyDescent="0.25">
      <c r="A144" t="s">
        <v>8</v>
      </c>
      <c r="B144" t="s">
        <v>39</v>
      </c>
      <c r="C144" t="s">
        <v>15</v>
      </c>
      <c r="D144" t="s">
        <v>22</v>
      </c>
      <c r="E144" t="s">
        <v>16</v>
      </c>
      <c r="F144">
        <v>42</v>
      </c>
      <c r="G144">
        <v>55</v>
      </c>
      <c r="H144">
        <v>54</v>
      </c>
    </row>
    <row r="145" spans="1:8" x14ac:dyDescent="0.25">
      <c r="A145" t="s">
        <v>19</v>
      </c>
      <c r="B145" t="s">
        <v>20</v>
      </c>
      <c r="C145" t="s">
        <v>30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25">
      <c r="A146" t="s">
        <v>19</v>
      </c>
      <c r="B146" t="s">
        <v>29</v>
      </c>
      <c r="C146" t="s">
        <v>15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25">
      <c r="A147" t="s">
        <v>8</v>
      </c>
      <c r="B147" t="s">
        <v>14</v>
      </c>
      <c r="C147" t="s">
        <v>15</v>
      </c>
      <c r="D147" t="s">
        <v>22</v>
      </c>
      <c r="E147" t="s">
        <v>12</v>
      </c>
      <c r="F147">
        <v>22</v>
      </c>
      <c r="G147">
        <v>39</v>
      </c>
      <c r="H147">
        <v>33</v>
      </c>
    </row>
    <row r="148" spans="1:8" x14ac:dyDescent="0.25">
      <c r="A148" t="s">
        <v>19</v>
      </c>
      <c r="B148" t="s">
        <v>9</v>
      </c>
      <c r="C148" t="s">
        <v>38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25">
      <c r="A149" t="s">
        <v>19</v>
      </c>
      <c r="B149" t="s">
        <v>14</v>
      </c>
      <c r="C149" t="s">
        <v>21</v>
      </c>
      <c r="D149" t="s">
        <v>22</v>
      </c>
      <c r="E149" t="s">
        <v>12</v>
      </c>
      <c r="F149">
        <v>73</v>
      </c>
      <c r="G149">
        <v>68</v>
      </c>
      <c r="H149">
        <v>66</v>
      </c>
    </row>
    <row r="150" spans="1:8" x14ac:dyDescent="0.25">
      <c r="A150" t="s">
        <v>8</v>
      </c>
      <c r="B150" t="s">
        <v>29</v>
      </c>
      <c r="C150" t="s">
        <v>10</v>
      </c>
      <c r="D150" t="s">
        <v>11</v>
      </c>
      <c r="E150" t="s">
        <v>16</v>
      </c>
      <c r="F150">
        <v>68</v>
      </c>
      <c r="G150">
        <v>75</v>
      </c>
      <c r="H150">
        <v>81</v>
      </c>
    </row>
    <row r="151" spans="1:8" x14ac:dyDescent="0.25">
      <c r="A151" t="s">
        <v>19</v>
      </c>
      <c r="B151" t="s">
        <v>39</v>
      </c>
      <c r="C151" t="s">
        <v>21</v>
      </c>
      <c r="D151" t="s">
        <v>22</v>
      </c>
      <c r="E151" t="s">
        <v>16</v>
      </c>
      <c r="F151">
        <v>100</v>
      </c>
      <c r="G151">
        <v>100</v>
      </c>
      <c r="H151">
        <v>93</v>
      </c>
    </row>
    <row r="152" spans="1:8" x14ac:dyDescent="0.25">
      <c r="A152" t="s">
        <v>19</v>
      </c>
      <c r="B152" t="s">
        <v>20</v>
      </c>
      <c r="C152" t="s">
        <v>38</v>
      </c>
      <c r="D152" t="s">
        <v>11</v>
      </c>
      <c r="E152" t="s">
        <v>16</v>
      </c>
      <c r="F152">
        <v>62</v>
      </c>
      <c r="G152">
        <v>67</v>
      </c>
      <c r="H152">
        <v>69</v>
      </c>
    </row>
    <row r="153" spans="1:8" x14ac:dyDescent="0.25">
      <c r="A153" t="s">
        <v>19</v>
      </c>
      <c r="B153" t="s">
        <v>20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25">
      <c r="A154" t="s">
        <v>8</v>
      </c>
      <c r="B154" t="s">
        <v>9</v>
      </c>
      <c r="C154" t="s">
        <v>21</v>
      </c>
      <c r="D154" t="s">
        <v>11</v>
      </c>
      <c r="E154" t="s">
        <v>16</v>
      </c>
      <c r="F154">
        <v>59</v>
      </c>
      <c r="G154">
        <v>70</v>
      </c>
      <c r="H154">
        <v>66</v>
      </c>
    </row>
    <row r="155" spans="1:8" x14ac:dyDescent="0.25">
      <c r="A155" t="s">
        <v>19</v>
      </c>
      <c r="B155" t="s">
        <v>29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25">
      <c r="A156" t="s">
        <v>19</v>
      </c>
      <c r="B156" t="s">
        <v>29</v>
      </c>
      <c r="C156" t="s">
        <v>38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25">
      <c r="A157" t="s">
        <v>8</v>
      </c>
      <c r="B157" t="s">
        <v>14</v>
      </c>
      <c r="C157" t="s">
        <v>15</v>
      </c>
      <c r="D157" t="s">
        <v>11</v>
      </c>
      <c r="E157" t="s">
        <v>16</v>
      </c>
      <c r="F157">
        <v>70</v>
      </c>
      <c r="G157">
        <v>89</v>
      </c>
      <c r="H157">
        <v>88</v>
      </c>
    </row>
    <row r="158" spans="1:8" x14ac:dyDescent="0.25">
      <c r="A158" t="s">
        <v>8</v>
      </c>
      <c r="B158" t="s">
        <v>39</v>
      </c>
      <c r="C158" t="s">
        <v>30</v>
      </c>
      <c r="D158" t="s">
        <v>22</v>
      </c>
      <c r="E158" t="s">
        <v>16</v>
      </c>
      <c r="F158">
        <v>66</v>
      </c>
      <c r="G158">
        <v>74</v>
      </c>
      <c r="H158">
        <v>78</v>
      </c>
    </row>
    <row r="159" spans="1:8" x14ac:dyDescent="0.25">
      <c r="A159" t="s">
        <v>19</v>
      </c>
      <c r="B159" t="s">
        <v>9</v>
      </c>
      <c r="C159" t="s">
        <v>15</v>
      </c>
      <c r="D159" t="s">
        <v>22</v>
      </c>
      <c r="E159" t="s">
        <v>12</v>
      </c>
      <c r="F159">
        <v>60</v>
      </c>
      <c r="G159">
        <v>60</v>
      </c>
      <c r="H159">
        <v>60</v>
      </c>
    </row>
    <row r="160" spans="1:8" x14ac:dyDescent="0.25">
      <c r="A160" t="s">
        <v>8</v>
      </c>
      <c r="B160" t="s">
        <v>9</v>
      </c>
      <c r="C160" t="s">
        <v>21</v>
      </c>
      <c r="D160" t="s">
        <v>11</v>
      </c>
      <c r="E160" t="s">
        <v>16</v>
      </c>
      <c r="F160">
        <v>61</v>
      </c>
      <c r="G160">
        <v>86</v>
      </c>
      <c r="H160">
        <v>87</v>
      </c>
    </row>
    <row r="161" spans="1:8" x14ac:dyDescent="0.25">
      <c r="A161" t="s">
        <v>19</v>
      </c>
      <c r="B161" t="s">
        <v>29</v>
      </c>
      <c r="C161" t="s">
        <v>21</v>
      </c>
      <c r="D161" t="s">
        <v>22</v>
      </c>
      <c r="E161" t="s">
        <v>12</v>
      </c>
      <c r="F161">
        <v>66</v>
      </c>
      <c r="G161">
        <v>62</v>
      </c>
      <c r="H161">
        <v>64</v>
      </c>
    </row>
    <row r="162" spans="1:8" x14ac:dyDescent="0.25">
      <c r="A162" t="s">
        <v>19</v>
      </c>
      <c r="B162" t="s">
        <v>9</v>
      </c>
      <c r="C162" t="s">
        <v>21</v>
      </c>
      <c r="D162" t="s">
        <v>22</v>
      </c>
      <c r="E162" t="s">
        <v>16</v>
      </c>
      <c r="F162">
        <v>82</v>
      </c>
      <c r="G162">
        <v>78</v>
      </c>
      <c r="H162">
        <v>74</v>
      </c>
    </row>
    <row r="163" spans="1:8" x14ac:dyDescent="0.25">
      <c r="A163" t="s">
        <v>8</v>
      </c>
      <c r="B163" t="s">
        <v>39</v>
      </c>
      <c r="C163" t="s">
        <v>15</v>
      </c>
      <c r="D163" t="s">
        <v>22</v>
      </c>
      <c r="E163" t="s">
        <v>16</v>
      </c>
      <c r="F163">
        <v>75</v>
      </c>
      <c r="G163">
        <v>88</v>
      </c>
      <c r="H163">
        <v>85</v>
      </c>
    </row>
    <row r="164" spans="1:8" x14ac:dyDescent="0.25">
      <c r="A164" t="s">
        <v>19</v>
      </c>
      <c r="B164" t="s">
        <v>9</v>
      </c>
      <c r="C164" t="s">
        <v>18</v>
      </c>
      <c r="D164" t="s">
        <v>22</v>
      </c>
      <c r="E164" t="s">
        <v>12</v>
      </c>
      <c r="F164">
        <v>49</v>
      </c>
      <c r="G164">
        <v>53</v>
      </c>
      <c r="H164">
        <v>52</v>
      </c>
    </row>
    <row r="165" spans="1:8" x14ac:dyDescent="0.25">
      <c r="A165" t="s">
        <v>19</v>
      </c>
      <c r="B165" t="s">
        <v>14</v>
      </c>
      <c r="C165" t="s">
        <v>30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25">
      <c r="A166" t="s">
        <v>8</v>
      </c>
      <c r="B166" t="s">
        <v>39</v>
      </c>
      <c r="C166" t="s">
        <v>18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25">
      <c r="A167" t="s">
        <v>8</v>
      </c>
      <c r="B167" t="s">
        <v>14</v>
      </c>
      <c r="C167" t="s">
        <v>10</v>
      </c>
      <c r="D167" t="s">
        <v>11</v>
      </c>
      <c r="E167" t="s">
        <v>16</v>
      </c>
      <c r="F167">
        <v>96</v>
      </c>
      <c r="G167">
        <v>100</v>
      </c>
      <c r="H167">
        <v>100</v>
      </c>
    </row>
    <row r="168" spans="1:8" x14ac:dyDescent="0.25">
      <c r="A168" t="s">
        <v>19</v>
      </c>
      <c r="B168" t="s">
        <v>14</v>
      </c>
      <c r="C168" t="s">
        <v>30</v>
      </c>
      <c r="D168" t="s">
        <v>22</v>
      </c>
      <c r="E168" t="s">
        <v>16</v>
      </c>
      <c r="F168">
        <v>53</v>
      </c>
      <c r="G168">
        <v>51</v>
      </c>
      <c r="H168">
        <v>51</v>
      </c>
    </row>
    <row r="169" spans="1:8" x14ac:dyDescent="0.25">
      <c r="A169" t="s">
        <v>8</v>
      </c>
      <c r="B169" t="s">
        <v>9</v>
      </c>
      <c r="C169" t="s">
        <v>18</v>
      </c>
      <c r="D169" t="s">
        <v>22</v>
      </c>
      <c r="E169" t="s">
        <v>16</v>
      </c>
      <c r="F169">
        <v>58</v>
      </c>
      <c r="G169">
        <v>76</v>
      </c>
      <c r="H169">
        <v>78</v>
      </c>
    </row>
    <row r="170" spans="1:8" x14ac:dyDescent="0.25">
      <c r="A170" t="s">
        <v>8</v>
      </c>
      <c r="B170" t="s">
        <v>9</v>
      </c>
      <c r="C170" t="s">
        <v>30</v>
      </c>
      <c r="D170" t="s">
        <v>11</v>
      </c>
      <c r="E170" t="s">
        <v>16</v>
      </c>
      <c r="F170">
        <v>68</v>
      </c>
      <c r="G170">
        <v>83</v>
      </c>
      <c r="H170">
        <v>78</v>
      </c>
    </row>
    <row r="171" spans="1:8" x14ac:dyDescent="0.25">
      <c r="A171" t="s">
        <v>8</v>
      </c>
      <c r="B171" t="s">
        <v>14</v>
      </c>
      <c r="C171" t="s">
        <v>15</v>
      </c>
      <c r="D171" t="s">
        <v>22</v>
      </c>
      <c r="E171" t="s">
        <v>16</v>
      </c>
      <c r="F171">
        <v>67</v>
      </c>
      <c r="G171">
        <v>75</v>
      </c>
      <c r="H171">
        <v>70</v>
      </c>
    </row>
    <row r="172" spans="1:8" x14ac:dyDescent="0.25">
      <c r="A172" t="s">
        <v>19</v>
      </c>
      <c r="B172" t="s">
        <v>20</v>
      </c>
      <c r="C172" t="s">
        <v>30</v>
      </c>
      <c r="D172" t="s">
        <v>11</v>
      </c>
      <c r="E172" t="s">
        <v>16</v>
      </c>
      <c r="F172">
        <v>72</v>
      </c>
      <c r="G172">
        <v>73</v>
      </c>
      <c r="H172">
        <v>74</v>
      </c>
    </row>
    <row r="173" spans="1:8" x14ac:dyDescent="0.25">
      <c r="A173" t="s">
        <v>19</v>
      </c>
      <c r="B173" t="s">
        <v>39</v>
      </c>
      <c r="C173" t="s">
        <v>38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25">
      <c r="A174" t="s">
        <v>8</v>
      </c>
      <c r="B174" t="s">
        <v>29</v>
      </c>
      <c r="C174" t="s">
        <v>15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25">
      <c r="A175" t="s">
        <v>8</v>
      </c>
      <c r="B175" t="s">
        <v>14</v>
      </c>
      <c r="C175" t="s">
        <v>21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25">
      <c r="A176" t="s">
        <v>8</v>
      </c>
      <c r="B176" t="s">
        <v>14</v>
      </c>
      <c r="C176" t="s">
        <v>10</v>
      </c>
      <c r="D176" t="s">
        <v>22</v>
      </c>
      <c r="E176" t="s">
        <v>16</v>
      </c>
      <c r="F176">
        <v>43</v>
      </c>
      <c r="G176">
        <v>51</v>
      </c>
      <c r="H176">
        <v>54</v>
      </c>
    </row>
    <row r="177" spans="1:8" x14ac:dyDescent="0.25">
      <c r="A177" t="s">
        <v>8</v>
      </c>
      <c r="B177" t="s">
        <v>14</v>
      </c>
      <c r="C177" t="s">
        <v>18</v>
      </c>
      <c r="D177" t="s">
        <v>11</v>
      </c>
      <c r="E177" t="s">
        <v>16</v>
      </c>
      <c r="F177">
        <v>81</v>
      </c>
      <c r="G177">
        <v>91</v>
      </c>
      <c r="H177">
        <v>87</v>
      </c>
    </row>
    <row r="178" spans="1:8" x14ac:dyDescent="0.25">
      <c r="A178" t="s">
        <v>8</v>
      </c>
      <c r="B178" t="s">
        <v>9</v>
      </c>
      <c r="C178" t="s">
        <v>30</v>
      </c>
      <c r="D178" t="s">
        <v>22</v>
      </c>
      <c r="E178" t="s">
        <v>16</v>
      </c>
      <c r="F178">
        <v>46</v>
      </c>
      <c r="G178">
        <v>54</v>
      </c>
      <c r="H178">
        <v>58</v>
      </c>
    </row>
    <row r="179" spans="1:8" x14ac:dyDescent="0.25">
      <c r="A179" t="s">
        <v>8</v>
      </c>
      <c r="B179" t="s">
        <v>14</v>
      </c>
      <c r="C179" t="s">
        <v>21</v>
      </c>
      <c r="D179" t="s">
        <v>11</v>
      </c>
      <c r="E179" t="s">
        <v>16</v>
      </c>
      <c r="F179">
        <v>71</v>
      </c>
      <c r="G179">
        <v>77</v>
      </c>
      <c r="H179">
        <v>77</v>
      </c>
    </row>
    <row r="180" spans="1:8" x14ac:dyDescent="0.25">
      <c r="A180" t="s">
        <v>8</v>
      </c>
      <c r="B180" t="s">
        <v>9</v>
      </c>
      <c r="C180" t="s">
        <v>18</v>
      </c>
      <c r="D180" t="s">
        <v>22</v>
      </c>
      <c r="E180" t="s">
        <v>16</v>
      </c>
      <c r="F180">
        <v>52</v>
      </c>
      <c r="G180">
        <v>70</v>
      </c>
      <c r="H180">
        <v>62</v>
      </c>
    </row>
    <row r="181" spans="1:8" x14ac:dyDescent="0.25">
      <c r="A181" t="s">
        <v>8</v>
      </c>
      <c r="B181" t="s">
        <v>29</v>
      </c>
      <c r="C181" t="s">
        <v>38</v>
      </c>
      <c r="D181" t="s">
        <v>11</v>
      </c>
      <c r="E181" t="s">
        <v>16</v>
      </c>
      <c r="F181">
        <v>97</v>
      </c>
      <c r="G181">
        <v>100</v>
      </c>
      <c r="H181">
        <v>100</v>
      </c>
    </row>
    <row r="182" spans="1:8" x14ac:dyDescent="0.25">
      <c r="A182" t="s">
        <v>19</v>
      </c>
      <c r="B182" t="s">
        <v>14</v>
      </c>
      <c r="C182" t="s">
        <v>18</v>
      </c>
      <c r="D182" t="s">
        <v>22</v>
      </c>
      <c r="E182" t="s">
        <v>16</v>
      </c>
      <c r="F182">
        <v>62</v>
      </c>
      <c r="G182">
        <v>68</v>
      </c>
      <c r="H182">
        <v>75</v>
      </c>
    </row>
    <row r="183" spans="1:8" x14ac:dyDescent="0.25">
      <c r="A183" t="s">
        <v>8</v>
      </c>
      <c r="B183" t="s">
        <v>14</v>
      </c>
      <c r="C183" t="s">
        <v>15</v>
      </c>
      <c r="D183" t="s">
        <v>22</v>
      </c>
      <c r="E183" t="s">
        <v>12</v>
      </c>
      <c r="F183">
        <v>46</v>
      </c>
      <c r="G183">
        <v>64</v>
      </c>
      <c r="H183">
        <v>66</v>
      </c>
    </row>
    <row r="184" spans="1:8" x14ac:dyDescent="0.25">
      <c r="A184" t="s">
        <v>8</v>
      </c>
      <c r="B184" t="s">
        <v>39</v>
      </c>
      <c r="C184" t="s">
        <v>30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25">
      <c r="A185" t="s">
        <v>8</v>
      </c>
      <c r="B185" t="s">
        <v>29</v>
      </c>
      <c r="C185" t="s">
        <v>21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25">
      <c r="A186" t="s">
        <v>19</v>
      </c>
      <c r="B186" t="s">
        <v>14</v>
      </c>
      <c r="C186" t="s">
        <v>38</v>
      </c>
      <c r="D186" t="s">
        <v>22</v>
      </c>
      <c r="E186" t="s">
        <v>16</v>
      </c>
      <c r="F186">
        <v>45</v>
      </c>
      <c r="G186">
        <v>52</v>
      </c>
      <c r="H186">
        <v>49</v>
      </c>
    </row>
    <row r="187" spans="1:8" x14ac:dyDescent="0.25">
      <c r="A187" t="s">
        <v>19</v>
      </c>
      <c r="B187" t="s">
        <v>14</v>
      </c>
      <c r="C187" t="s">
        <v>21</v>
      </c>
      <c r="D187" t="s">
        <v>22</v>
      </c>
      <c r="E187" t="s">
        <v>16</v>
      </c>
      <c r="F187">
        <v>65</v>
      </c>
      <c r="G187">
        <v>67</v>
      </c>
      <c r="H187">
        <v>65</v>
      </c>
    </row>
    <row r="188" spans="1:8" x14ac:dyDescent="0.25">
      <c r="A188" t="s">
        <v>19</v>
      </c>
      <c r="B188" t="s">
        <v>39</v>
      </c>
      <c r="C188" t="s">
        <v>30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25">
      <c r="A189" t="s">
        <v>19</v>
      </c>
      <c r="B189" t="s">
        <v>29</v>
      </c>
      <c r="C189" t="s">
        <v>38</v>
      </c>
      <c r="D189" t="s">
        <v>11</v>
      </c>
      <c r="E189" t="s">
        <v>16</v>
      </c>
      <c r="F189">
        <v>62</v>
      </c>
      <c r="G189">
        <v>66</v>
      </c>
      <c r="H189">
        <v>68</v>
      </c>
    </row>
    <row r="190" spans="1:8" x14ac:dyDescent="0.25">
      <c r="A190" t="s">
        <v>19</v>
      </c>
      <c r="B190" t="s">
        <v>9</v>
      </c>
      <c r="C190" t="s">
        <v>38</v>
      </c>
      <c r="D190" t="s">
        <v>22</v>
      </c>
      <c r="E190" t="s">
        <v>12</v>
      </c>
      <c r="F190">
        <v>48</v>
      </c>
      <c r="G190">
        <v>52</v>
      </c>
      <c r="H190">
        <v>45</v>
      </c>
    </row>
    <row r="191" spans="1:8" x14ac:dyDescent="0.25">
      <c r="A191" t="s">
        <v>8</v>
      </c>
      <c r="B191" t="s">
        <v>14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25">
      <c r="A192" t="s">
        <v>8</v>
      </c>
      <c r="B192" t="s">
        <v>39</v>
      </c>
      <c r="C192" t="s">
        <v>21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25">
      <c r="A193" t="s">
        <v>19</v>
      </c>
      <c r="B193" t="s">
        <v>29</v>
      </c>
      <c r="C193" t="s">
        <v>15</v>
      </c>
      <c r="D193" t="s">
        <v>11</v>
      </c>
      <c r="E193" t="s">
        <v>16</v>
      </c>
      <c r="F193">
        <v>76</v>
      </c>
      <c r="G193">
        <v>83</v>
      </c>
      <c r="H193">
        <v>79</v>
      </c>
    </row>
    <row r="194" spans="1:8" x14ac:dyDescent="0.25">
      <c r="A194" t="s">
        <v>8</v>
      </c>
      <c r="B194" t="s">
        <v>9</v>
      </c>
      <c r="C194" t="s">
        <v>38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25">
      <c r="A195" t="s">
        <v>19</v>
      </c>
      <c r="B195" t="s">
        <v>29</v>
      </c>
      <c r="C195" t="s">
        <v>15</v>
      </c>
      <c r="D195" t="s">
        <v>11</v>
      </c>
      <c r="E195" t="s">
        <v>16</v>
      </c>
      <c r="F195">
        <v>77</v>
      </c>
      <c r="G195">
        <v>62</v>
      </c>
      <c r="H195">
        <v>62</v>
      </c>
    </row>
    <row r="196" spans="1:8" x14ac:dyDescent="0.25">
      <c r="A196" t="s">
        <v>8</v>
      </c>
      <c r="B196" t="s">
        <v>14</v>
      </c>
      <c r="C196" t="s">
        <v>18</v>
      </c>
      <c r="D196" t="s">
        <v>11</v>
      </c>
      <c r="E196" t="s">
        <v>16</v>
      </c>
      <c r="F196">
        <v>69</v>
      </c>
      <c r="G196">
        <v>84</v>
      </c>
      <c r="H196">
        <v>85</v>
      </c>
    </row>
    <row r="197" spans="1:8" x14ac:dyDescent="0.25">
      <c r="A197" t="s">
        <v>19</v>
      </c>
      <c r="B197" t="s">
        <v>29</v>
      </c>
      <c r="C197" t="s">
        <v>21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25">
      <c r="A198" t="s">
        <v>19</v>
      </c>
      <c r="B198" t="s">
        <v>14</v>
      </c>
      <c r="C198" t="s">
        <v>38</v>
      </c>
      <c r="D198" t="s">
        <v>22</v>
      </c>
      <c r="E198" t="s">
        <v>16</v>
      </c>
      <c r="F198">
        <v>59</v>
      </c>
      <c r="G198">
        <v>69</v>
      </c>
      <c r="H198">
        <v>65</v>
      </c>
    </row>
    <row r="199" spans="1:8" x14ac:dyDescent="0.25">
      <c r="A199" t="s">
        <v>19</v>
      </c>
      <c r="B199" t="s">
        <v>39</v>
      </c>
      <c r="C199" t="s">
        <v>30</v>
      </c>
      <c r="D199" t="s">
        <v>22</v>
      </c>
      <c r="E199" t="s">
        <v>12</v>
      </c>
      <c r="F199">
        <v>55</v>
      </c>
      <c r="G199">
        <v>56</v>
      </c>
      <c r="H199">
        <v>51</v>
      </c>
    </row>
    <row r="200" spans="1:8" x14ac:dyDescent="0.25">
      <c r="A200" t="s">
        <v>8</v>
      </c>
      <c r="B200" t="s">
        <v>9</v>
      </c>
      <c r="C200" t="s">
        <v>15</v>
      </c>
      <c r="D200" t="s">
        <v>22</v>
      </c>
      <c r="E200" t="s">
        <v>12</v>
      </c>
      <c r="F200">
        <v>45</v>
      </c>
      <c r="G200">
        <v>53</v>
      </c>
      <c r="H200">
        <v>55</v>
      </c>
    </row>
    <row r="201" spans="1:8" x14ac:dyDescent="0.25">
      <c r="A201" t="s">
        <v>8</v>
      </c>
      <c r="B201" t="s">
        <v>9</v>
      </c>
      <c r="C201" t="s">
        <v>10</v>
      </c>
      <c r="D201" t="s">
        <v>22</v>
      </c>
      <c r="E201" t="s">
        <v>12</v>
      </c>
      <c r="F201">
        <v>78</v>
      </c>
      <c r="G201">
        <v>79</v>
      </c>
      <c r="H201">
        <v>76</v>
      </c>
    </row>
    <row r="202" spans="1:8" x14ac:dyDescent="0.25">
      <c r="A202" t="s">
        <v>8</v>
      </c>
      <c r="B202" t="s">
        <v>14</v>
      </c>
      <c r="C202" t="s">
        <v>21</v>
      </c>
      <c r="D202" t="s">
        <v>11</v>
      </c>
      <c r="E202" t="s">
        <v>16</v>
      </c>
      <c r="F202">
        <v>67</v>
      </c>
      <c r="G202">
        <v>84</v>
      </c>
      <c r="H202">
        <v>86</v>
      </c>
    </row>
    <row r="203" spans="1:8" x14ac:dyDescent="0.25">
      <c r="A203" t="s">
        <v>8</v>
      </c>
      <c r="B203" t="s">
        <v>29</v>
      </c>
      <c r="C203" t="s">
        <v>15</v>
      </c>
      <c r="D203" t="s">
        <v>22</v>
      </c>
      <c r="E203" t="s">
        <v>12</v>
      </c>
      <c r="F203">
        <v>65</v>
      </c>
      <c r="G203">
        <v>81</v>
      </c>
      <c r="H203">
        <v>77</v>
      </c>
    </row>
    <row r="204" spans="1:8" x14ac:dyDescent="0.25">
      <c r="A204" t="s">
        <v>19</v>
      </c>
      <c r="B204" t="s">
        <v>14</v>
      </c>
      <c r="C204" t="s">
        <v>21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25">
      <c r="A205" t="s">
        <v>8</v>
      </c>
      <c r="B205" t="s">
        <v>9</v>
      </c>
      <c r="C205" t="s">
        <v>21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25">
      <c r="A206" t="s">
        <v>19</v>
      </c>
      <c r="B206" t="s">
        <v>14</v>
      </c>
      <c r="C206" t="s">
        <v>15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25">
      <c r="A207" t="s">
        <v>19</v>
      </c>
      <c r="B207" t="s">
        <v>29</v>
      </c>
      <c r="C207" t="s">
        <v>38</v>
      </c>
      <c r="D207" t="s">
        <v>11</v>
      </c>
      <c r="E207" t="s">
        <v>16</v>
      </c>
      <c r="F207">
        <v>74</v>
      </c>
      <c r="G207">
        <v>71</v>
      </c>
      <c r="H207">
        <v>78</v>
      </c>
    </row>
    <row r="208" spans="1:8" x14ac:dyDescent="0.25">
      <c r="A208" t="s">
        <v>19</v>
      </c>
      <c r="B208" t="s">
        <v>39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25">
      <c r="A209" t="s">
        <v>19</v>
      </c>
      <c r="B209" t="s">
        <v>39</v>
      </c>
      <c r="C209" t="s">
        <v>30</v>
      </c>
      <c r="D209" t="s">
        <v>11</v>
      </c>
      <c r="E209" t="s">
        <v>16</v>
      </c>
      <c r="F209">
        <v>81</v>
      </c>
      <c r="G209">
        <v>80</v>
      </c>
      <c r="H209">
        <v>76</v>
      </c>
    </row>
    <row r="210" spans="1:8" x14ac:dyDescent="0.25">
      <c r="A210" t="s">
        <v>8</v>
      </c>
      <c r="B210" t="s">
        <v>9</v>
      </c>
      <c r="C210" t="s">
        <v>15</v>
      </c>
      <c r="D210" t="s">
        <v>22</v>
      </c>
      <c r="E210" t="s">
        <v>12</v>
      </c>
      <c r="F210">
        <v>74</v>
      </c>
      <c r="G210">
        <v>81</v>
      </c>
      <c r="H210">
        <v>76</v>
      </c>
    </row>
    <row r="211" spans="1:8" x14ac:dyDescent="0.25">
      <c r="A211" t="s">
        <v>8</v>
      </c>
      <c r="B211" t="s">
        <v>9</v>
      </c>
      <c r="C211" t="s">
        <v>15</v>
      </c>
      <c r="D211" t="s">
        <v>22</v>
      </c>
      <c r="E211" t="s">
        <v>12</v>
      </c>
      <c r="F211">
        <v>58</v>
      </c>
      <c r="G211">
        <v>61</v>
      </c>
      <c r="H211">
        <v>66</v>
      </c>
    </row>
    <row r="212" spans="1:8" x14ac:dyDescent="0.25">
      <c r="A212" t="s">
        <v>19</v>
      </c>
      <c r="B212" t="s">
        <v>29</v>
      </c>
      <c r="C212" t="s">
        <v>38</v>
      </c>
      <c r="D212" t="s">
        <v>22</v>
      </c>
      <c r="E212" t="s">
        <v>16</v>
      </c>
      <c r="F212">
        <v>80</v>
      </c>
      <c r="G212">
        <v>79</v>
      </c>
      <c r="H212">
        <v>79</v>
      </c>
    </row>
    <row r="213" spans="1:8" x14ac:dyDescent="0.25">
      <c r="A213" t="s">
        <v>19</v>
      </c>
      <c r="B213" t="s">
        <v>14</v>
      </c>
      <c r="C213" t="s">
        <v>15</v>
      </c>
      <c r="D213" t="s">
        <v>22</v>
      </c>
      <c r="E213" t="s">
        <v>12</v>
      </c>
      <c r="F213">
        <v>35</v>
      </c>
      <c r="G213">
        <v>28</v>
      </c>
      <c r="H213">
        <v>27</v>
      </c>
    </row>
    <row r="214" spans="1:8" x14ac:dyDescent="0.25">
      <c r="A214" t="s">
        <v>8</v>
      </c>
      <c r="B214" t="s">
        <v>14</v>
      </c>
      <c r="C214" t="s">
        <v>30</v>
      </c>
      <c r="D214" t="s">
        <v>22</v>
      </c>
      <c r="E214" t="s">
        <v>12</v>
      </c>
      <c r="F214">
        <v>42</v>
      </c>
      <c r="G214">
        <v>62</v>
      </c>
      <c r="H214">
        <v>60</v>
      </c>
    </row>
    <row r="215" spans="1:8" x14ac:dyDescent="0.25">
      <c r="A215" t="s">
        <v>19</v>
      </c>
      <c r="B215" t="s">
        <v>14</v>
      </c>
      <c r="C215" t="s">
        <v>21</v>
      </c>
      <c r="D215" t="s">
        <v>22</v>
      </c>
      <c r="E215" t="s">
        <v>16</v>
      </c>
      <c r="F215">
        <v>60</v>
      </c>
      <c r="G215">
        <v>51</v>
      </c>
      <c r="H215">
        <v>56</v>
      </c>
    </row>
    <row r="216" spans="1:8" x14ac:dyDescent="0.25">
      <c r="A216" t="s">
        <v>19</v>
      </c>
      <c r="B216" t="s">
        <v>39</v>
      </c>
      <c r="C216" t="s">
        <v>30</v>
      </c>
      <c r="D216" t="s">
        <v>11</v>
      </c>
      <c r="E216" t="s">
        <v>16</v>
      </c>
      <c r="F216">
        <v>87</v>
      </c>
      <c r="G216">
        <v>91</v>
      </c>
      <c r="H216">
        <v>81</v>
      </c>
    </row>
    <row r="217" spans="1:8" x14ac:dyDescent="0.25">
      <c r="A217" t="s">
        <v>19</v>
      </c>
      <c r="B217" t="s">
        <v>9</v>
      </c>
      <c r="C217" t="s">
        <v>38</v>
      </c>
      <c r="D217" t="s">
        <v>11</v>
      </c>
      <c r="E217" t="s">
        <v>16</v>
      </c>
      <c r="F217">
        <v>84</v>
      </c>
      <c r="G217">
        <v>83</v>
      </c>
      <c r="H217">
        <v>75</v>
      </c>
    </row>
    <row r="218" spans="1:8" x14ac:dyDescent="0.25">
      <c r="A218" t="s">
        <v>8</v>
      </c>
      <c r="B218" t="s">
        <v>39</v>
      </c>
      <c r="C218" t="s">
        <v>21</v>
      </c>
      <c r="D218" t="s">
        <v>22</v>
      </c>
      <c r="E218" t="s">
        <v>16</v>
      </c>
      <c r="F218">
        <v>83</v>
      </c>
      <c r="G218">
        <v>86</v>
      </c>
      <c r="H218">
        <v>88</v>
      </c>
    </row>
    <row r="219" spans="1:8" x14ac:dyDescent="0.25">
      <c r="A219" t="s">
        <v>8</v>
      </c>
      <c r="B219" t="s">
        <v>14</v>
      </c>
      <c r="C219" t="s">
        <v>30</v>
      </c>
      <c r="D219" t="s">
        <v>22</v>
      </c>
      <c r="E219" t="s">
        <v>12</v>
      </c>
      <c r="F219">
        <v>34</v>
      </c>
      <c r="G219">
        <v>42</v>
      </c>
      <c r="H219">
        <v>39</v>
      </c>
    </row>
    <row r="220" spans="1:8" x14ac:dyDescent="0.25">
      <c r="A220" t="s">
        <v>19</v>
      </c>
      <c r="B220" t="s">
        <v>9</v>
      </c>
      <c r="C220" t="s">
        <v>30</v>
      </c>
      <c r="D220" t="s">
        <v>22</v>
      </c>
      <c r="E220" t="s">
        <v>12</v>
      </c>
      <c r="F220">
        <v>66</v>
      </c>
      <c r="G220">
        <v>77</v>
      </c>
      <c r="H220">
        <v>70</v>
      </c>
    </row>
    <row r="221" spans="1:8" x14ac:dyDescent="0.25">
      <c r="A221" t="s">
        <v>19</v>
      </c>
      <c r="B221" t="s">
        <v>9</v>
      </c>
      <c r="C221" t="s">
        <v>38</v>
      </c>
      <c r="D221" t="s">
        <v>11</v>
      </c>
      <c r="E221" t="s">
        <v>16</v>
      </c>
      <c r="F221">
        <v>61</v>
      </c>
      <c r="G221">
        <v>56</v>
      </c>
      <c r="H221">
        <v>56</v>
      </c>
    </row>
    <row r="222" spans="1:8" x14ac:dyDescent="0.25">
      <c r="A222" t="s">
        <v>8</v>
      </c>
      <c r="B222" t="s">
        <v>29</v>
      </c>
      <c r="C222" t="s">
        <v>30</v>
      </c>
      <c r="D222" t="s">
        <v>11</v>
      </c>
      <c r="E222" t="s">
        <v>16</v>
      </c>
      <c r="F222">
        <v>56</v>
      </c>
      <c r="G222">
        <v>68</v>
      </c>
      <c r="H222">
        <v>74</v>
      </c>
    </row>
    <row r="223" spans="1:8" x14ac:dyDescent="0.25">
      <c r="A223" t="s">
        <v>19</v>
      </c>
      <c r="B223" t="s">
        <v>9</v>
      </c>
      <c r="C223" t="s">
        <v>21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25">
      <c r="A224" t="s">
        <v>8</v>
      </c>
      <c r="B224" t="s">
        <v>14</v>
      </c>
      <c r="C224" t="s">
        <v>38</v>
      </c>
      <c r="D224" t="s">
        <v>22</v>
      </c>
      <c r="E224" t="s">
        <v>12</v>
      </c>
      <c r="F224">
        <v>55</v>
      </c>
      <c r="G224">
        <v>65</v>
      </c>
      <c r="H224">
        <v>62</v>
      </c>
    </row>
    <row r="225" spans="1:8" x14ac:dyDescent="0.25">
      <c r="A225" t="s">
        <v>19</v>
      </c>
      <c r="B225" t="s">
        <v>29</v>
      </c>
      <c r="C225" t="s">
        <v>38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25">
      <c r="A226" t="s">
        <v>8</v>
      </c>
      <c r="B226" t="s">
        <v>9</v>
      </c>
      <c r="C226" t="s">
        <v>21</v>
      </c>
      <c r="D226" t="s">
        <v>11</v>
      </c>
      <c r="E226" t="s">
        <v>16</v>
      </c>
      <c r="F226">
        <v>52</v>
      </c>
      <c r="G226">
        <v>66</v>
      </c>
      <c r="H226">
        <v>73</v>
      </c>
    </row>
    <row r="227" spans="1:8" x14ac:dyDescent="0.25">
      <c r="A227" t="s">
        <v>8</v>
      </c>
      <c r="B227" t="s">
        <v>39</v>
      </c>
      <c r="C227" t="s">
        <v>18</v>
      </c>
      <c r="D227" t="s">
        <v>22</v>
      </c>
      <c r="E227" t="s">
        <v>12</v>
      </c>
      <c r="F227">
        <v>45</v>
      </c>
      <c r="G227">
        <v>56</v>
      </c>
      <c r="H227">
        <v>54</v>
      </c>
    </row>
    <row r="228" spans="1:8" x14ac:dyDescent="0.25">
      <c r="A228" t="s">
        <v>8</v>
      </c>
      <c r="B228" t="s">
        <v>14</v>
      </c>
      <c r="C228" t="s">
        <v>15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25">
      <c r="A229" t="s">
        <v>19</v>
      </c>
      <c r="B229" t="s">
        <v>29</v>
      </c>
      <c r="C229" t="s">
        <v>30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25">
      <c r="A230" t="s">
        <v>19</v>
      </c>
      <c r="B230" t="s">
        <v>20</v>
      </c>
      <c r="C230" t="s">
        <v>38</v>
      </c>
      <c r="D230" t="s">
        <v>22</v>
      </c>
      <c r="E230" t="s">
        <v>12</v>
      </c>
      <c r="F230">
        <v>68</v>
      </c>
      <c r="G230">
        <v>72</v>
      </c>
      <c r="H230">
        <v>64</v>
      </c>
    </row>
    <row r="231" spans="1:8" x14ac:dyDescent="0.25">
      <c r="A231" t="s">
        <v>8</v>
      </c>
      <c r="B231" t="s">
        <v>14</v>
      </c>
      <c r="C231" t="s">
        <v>15</v>
      </c>
      <c r="D231" t="s">
        <v>11</v>
      </c>
      <c r="E231" t="s">
        <v>16</v>
      </c>
      <c r="F231">
        <v>88</v>
      </c>
      <c r="G231">
        <v>95</v>
      </c>
      <c r="H231">
        <v>94</v>
      </c>
    </row>
    <row r="232" spans="1:8" x14ac:dyDescent="0.25">
      <c r="A232" t="s">
        <v>19</v>
      </c>
      <c r="B232" t="s">
        <v>29</v>
      </c>
      <c r="C232" t="s">
        <v>15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25">
      <c r="A233" t="s">
        <v>19</v>
      </c>
      <c r="B233" t="s">
        <v>14</v>
      </c>
      <c r="C233" t="s">
        <v>21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2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25">
      <c r="A235" t="s">
        <v>19</v>
      </c>
      <c r="B235" t="s">
        <v>39</v>
      </c>
      <c r="C235" t="s">
        <v>38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25">
      <c r="A236" t="s">
        <v>19</v>
      </c>
      <c r="B236" t="s">
        <v>14</v>
      </c>
      <c r="C236" t="s">
        <v>10</v>
      </c>
      <c r="D236" t="s">
        <v>11</v>
      </c>
      <c r="E236" t="s">
        <v>16</v>
      </c>
      <c r="F236">
        <v>83</v>
      </c>
      <c r="G236">
        <v>82</v>
      </c>
      <c r="H236">
        <v>84</v>
      </c>
    </row>
    <row r="237" spans="1:8" x14ac:dyDescent="0.25">
      <c r="A237" t="s">
        <v>19</v>
      </c>
      <c r="B237" t="s">
        <v>29</v>
      </c>
      <c r="C237" t="s">
        <v>21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25">
      <c r="A238" t="s">
        <v>19</v>
      </c>
      <c r="B238" t="s">
        <v>29</v>
      </c>
      <c r="C238" t="s">
        <v>10</v>
      </c>
      <c r="D238" t="s">
        <v>22</v>
      </c>
      <c r="E238" t="s">
        <v>12</v>
      </c>
      <c r="F238">
        <v>63</v>
      </c>
      <c r="G238">
        <v>66</v>
      </c>
      <c r="H238">
        <v>67</v>
      </c>
    </row>
    <row r="239" spans="1:8" x14ac:dyDescent="0.25">
      <c r="A239" t="s">
        <v>8</v>
      </c>
      <c r="B239" t="s">
        <v>29</v>
      </c>
      <c r="C239" t="s">
        <v>38</v>
      </c>
      <c r="D239" t="s">
        <v>11</v>
      </c>
      <c r="E239" t="s">
        <v>16</v>
      </c>
      <c r="F239">
        <v>64</v>
      </c>
      <c r="G239">
        <v>60</v>
      </c>
      <c r="H239">
        <v>74</v>
      </c>
    </row>
    <row r="240" spans="1:8" x14ac:dyDescent="0.25">
      <c r="A240" t="s">
        <v>19</v>
      </c>
      <c r="B240" t="s">
        <v>9</v>
      </c>
      <c r="C240" t="s">
        <v>15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25">
      <c r="A241" t="s">
        <v>19</v>
      </c>
      <c r="B241" t="s">
        <v>14</v>
      </c>
      <c r="C241" t="s">
        <v>21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25">
      <c r="A242" t="s">
        <v>19</v>
      </c>
      <c r="B242" t="s">
        <v>29</v>
      </c>
      <c r="C242" t="s">
        <v>30</v>
      </c>
      <c r="D242" t="s">
        <v>22</v>
      </c>
      <c r="E242" t="s">
        <v>16</v>
      </c>
      <c r="F242">
        <v>73</v>
      </c>
      <c r="G242">
        <v>68</v>
      </c>
      <c r="H242">
        <v>66</v>
      </c>
    </row>
    <row r="243" spans="1:8" x14ac:dyDescent="0.25">
      <c r="A243" t="s">
        <v>8</v>
      </c>
      <c r="B243" t="s">
        <v>39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25">
      <c r="A244" t="s">
        <v>8</v>
      </c>
      <c r="B244" t="s">
        <v>29</v>
      </c>
      <c r="C244" t="s">
        <v>30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25">
      <c r="A245" t="s">
        <v>19</v>
      </c>
      <c r="B245" t="s">
        <v>39</v>
      </c>
      <c r="C245" t="s">
        <v>15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25">
      <c r="A246" t="s">
        <v>19</v>
      </c>
      <c r="B246" t="s">
        <v>29</v>
      </c>
      <c r="C246" t="s">
        <v>38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25">
      <c r="A247" t="s">
        <v>19</v>
      </c>
      <c r="B247" t="s">
        <v>14</v>
      </c>
      <c r="C247" t="s">
        <v>21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25">
      <c r="A248" t="s">
        <v>19</v>
      </c>
      <c r="B248" t="s">
        <v>39</v>
      </c>
      <c r="C248" t="s">
        <v>21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25">
      <c r="A249" t="s">
        <v>8</v>
      </c>
      <c r="B249" t="s">
        <v>9</v>
      </c>
      <c r="C249" t="s">
        <v>30</v>
      </c>
      <c r="D249" t="s">
        <v>11</v>
      </c>
      <c r="E249" t="s">
        <v>16</v>
      </c>
      <c r="F249">
        <v>58</v>
      </c>
      <c r="G249">
        <v>70</v>
      </c>
      <c r="H249">
        <v>68</v>
      </c>
    </row>
    <row r="250" spans="1:8" x14ac:dyDescent="0.25">
      <c r="A250" t="s">
        <v>8</v>
      </c>
      <c r="B250" t="s">
        <v>9</v>
      </c>
      <c r="C250" t="s">
        <v>30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25">
      <c r="A251" t="s">
        <v>19</v>
      </c>
      <c r="B251" t="s">
        <v>14</v>
      </c>
      <c r="C251" t="s">
        <v>30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25">
      <c r="A252" t="s">
        <v>19</v>
      </c>
      <c r="B252" t="s">
        <v>20</v>
      </c>
      <c r="C252" t="s">
        <v>38</v>
      </c>
      <c r="D252" t="s">
        <v>11</v>
      </c>
      <c r="E252" t="s">
        <v>16</v>
      </c>
      <c r="F252">
        <v>47</v>
      </c>
      <c r="G252">
        <v>49</v>
      </c>
      <c r="H252">
        <v>49</v>
      </c>
    </row>
    <row r="253" spans="1:8" x14ac:dyDescent="0.25">
      <c r="A253" t="s">
        <v>8</v>
      </c>
      <c r="B253" t="s">
        <v>29</v>
      </c>
      <c r="C253" t="s">
        <v>15</v>
      </c>
      <c r="D253" t="s">
        <v>22</v>
      </c>
      <c r="E253" t="s">
        <v>12</v>
      </c>
      <c r="F253">
        <v>71</v>
      </c>
      <c r="G253">
        <v>83</v>
      </c>
      <c r="H253">
        <v>83</v>
      </c>
    </row>
    <row r="254" spans="1:8" x14ac:dyDescent="0.25">
      <c r="A254" t="s">
        <v>8</v>
      </c>
      <c r="B254" t="s">
        <v>9</v>
      </c>
      <c r="C254" t="s">
        <v>38</v>
      </c>
      <c r="D254" t="s">
        <v>11</v>
      </c>
      <c r="E254" t="s">
        <v>16</v>
      </c>
      <c r="F254">
        <v>60</v>
      </c>
      <c r="G254">
        <v>70</v>
      </c>
      <c r="H254">
        <v>70</v>
      </c>
    </row>
    <row r="255" spans="1:8" x14ac:dyDescent="0.25">
      <c r="A255" t="s">
        <v>19</v>
      </c>
      <c r="B255" t="s">
        <v>29</v>
      </c>
      <c r="C255" t="s">
        <v>18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25">
      <c r="A256" t="s">
        <v>19</v>
      </c>
      <c r="B256" t="s">
        <v>29</v>
      </c>
      <c r="C256" t="s">
        <v>30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25">
      <c r="A257" t="s">
        <v>8</v>
      </c>
      <c r="B257" t="s">
        <v>39</v>
      </c>
      <c r="C257" t="s">
        <v>15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25">
      <c r="A258" t="s">
        <v>8</v>
      </c>
      <c r="B258" t="s">
        <v>14</v>
      </c>
      <c r="C258" t="s">
        <v>21</v>
      </c>
      <c r="D258" t="s">
        <v>22</v>
      </c>
      <c r="E258" t="s">
        <v>12</v>
      </c>
      <c r="F258">
        <v>64</v>
      </c>
      <c r="G258">
        <v>73</v>
      </c>
      <c r="H258">
        <v>68</v>
      </c>
    </row>
    <row r="259" spans="1:8" x14ac:dyDescent="0.25">
      <c r="A259" t="s">
        <v>19</v>
      </c>
      <c r="B259" t="s">
        <v>14</v>
      </c>
      <c r="C259" t="s">
        <v>21</v>
      </c>
      <c r="D259" t="s">
        <v>11</v>
      </c>
      <c r="E259" t="s">
        <v>16</v>
      </c>
      <c r="F259">
        <v>78</v>
      </c>
      <c r="G259">
        <v>77</v>
      </c>
      <c r="H259">
        <v>77</v>
      </c>
    </row>
    <row r="260" spans="1:8" x14ac:dyDescent="0.25">
      <c r="A260" t="s">
        <v>8</v>
      </c>
      <c r="B260" t="s">
        <v>9</v>
      </c>
      <c r="C260" t="s">
        <v>15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25">
      <c r="A261" t="s">
        <v>8</v>
      </c>
      <c r="B261" t="s">
        <v>14</v>
      </c>
      <c r="C261" t="s">
        <v>18</v>
      </c>
      <c r="D261" t="s">
        <v>22</v>
      </c>
      <c r="E261" t="s">
        <v>16</v>
      </c>
      <c r="F261">
        <v>65</v>
      </c>
      <c r="G261">
        <v>81</v>
      </c>
      <c r="H261">
        <v>81</v>
      </c>
    </row>
    <row r="262" spans="1:8" x14ac:dyDescent="0.25">
      <c r="A262" t="s">
        <v>8</v>
      </c>
      <c r="B262" t="s">
        <v>14</v>
      </c>
      <c r="C262" t="s">
        <v>38</v>
      </c>
      <c r="D262" t="s">
        <v>22</v>
      </c>
      <c r="E262" t="s">
        <v>16</v>
      </c>
      <c r="F262">
        <v>64</v>
      </c>
      <c r="G262">
        <v>79</v>
      </c>
      <c r="H262">
        <v>77</v>
      </c>
    </row>
    <row r="263" spans="1:8" x14ac:dyDescent="0.25">
      <c r="A263" t="s">
        <v>19</v>
      </c>
      <c r="B263" t="s">
        <v>14</v>
      </c>
      <c r="C263" t="s">
        <v>15</v>
      </c>
      <c r="D263" t="s">
        <v>11</v>
      </c>
      <c r="E263" t="s">
        <v>16</v>
      </c>
      <c r="F263">
        <v>79</v>
      </c>
      <c r="G263">
        <v>79</v>
      </c>
      <c r="H263">
        <v>78</v>
      </c>
    </row>
    <row r="264" spans="1:8" x14ac:dyDescent="0.25">
      <c r="A264" t="s">
        <v>8</v>
      </c>
      <c r="B264" t="s">
        <v>14</v>
      </c>
      <c r="C264" t="s">
        <v>38</v>
      </c>
      <c r="D264" t="s">
        <v>22</v>
      </c>
      <c r="E264" t="s">
        <v>12</v>
      </c>
      <c r="F264">
        <v>44</v>
      </c>
      <c r="G264">
        <v>50</v>
      </c>
      <c r="H264">
        <v>51</v>
      </c>
    </row>
    <row r="265" spans="1:8" x14ac:dyDescent="0.25">
      <c r="A265" t="s">
        <v>8</v>
      </c>
      <c r="B265" t="s">
        <v>39</v>
      </c>
      <c r="C265" t="s">
        <v>30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25">
      <c r="A266" t="s">
        <v>19</v>
      </c>
      <c r="B266" t="s">
        <v>29</v>
      </c>
      <c r="C266" t="s">
        <v>30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25">
      <c r="A267" t="s">
        <v>19</v>
      </c>
      <c r="B267" t="s">
        <v>29</v>
      </c>
      <c r="C267" t="s">
        <v>38</v>
      </c>
      <c r="D267" t="s">
        <v>22</v>
      </c>
      <c r="E267" t="s">
        <v>12</v>
      </c>
      <c r="F267">
        <v>59</v>
      </c>
      <c r="G267">
        <v>42</v>
      </c>
      <c r="H267">
        <v>41</v>
      </c>
    </row>
    <row r="268" spans="1:8" x14ac:dyDescent="0.25">
      <c r="A268" t="s">
        <v>8</v>
      </c>
      <c r="B268" t="s">
        <v>14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25">
      <c r="A269" t="s">
        <v>8</v>
      </c>
      <c r="B269" t="s">
        <v>29</v>
      </c>
      <c r="C269" t="s">
        <v>30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25">
      <c r="A270" t="s">
        <v>8</v>
      </c>
      <c r="B270" t="s">
        <v>29</v>
      </c>
      <c r="C270" t="s">
        <v>21</v>
      </c>
      <c r="D270" t="s">
        <v>11</v>
      </c>
      <c r="E270" t="s">
        <v>16</v>
      </c>
      <c r="F270">
        <v>88</v>
      </c>
      <c r="G270">
        <v>92</v>
      </c>
      <c r="H270">
        <v>95</v>
      </c>
    </row>
    <row r="271" spans="1:8" x14ac:dyDescent="0.25">
      <c r="A271" t="s">
        <v>8</v>
      </c>
      <c r="B271" t="s">
        <v>39</v>
      </c>
      <c r="C271" t="s">
        <v>15</v>
      </c>
      <c r="D271" t="s">
        <v>22</v>
      </c>
      <c r="E271" t="s">
        <v>12</v>
      </c>
      <c r="F271">
        <v>71</v>
      </c>
      <c r="G271">
        <v>76</v>
      </c>
      <c r="H271">
        <v>70</v>
      </c>
    </row>
    <row r="272" spans="1:8" x14ac:dyDescent="0.25">
      <c r="A272" t="s">
        <v>19</v>
      </c>
      <c r="B272" t="s">
        <v>14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25">
      <c r="A273" t="s">
        <v>19</v>
      </c>
      <c r="B273" t="s">
        <v>14</v>
      </c>
      <c r="C273" t="s">
        <v>15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25">
      <c r="A274" t="s">
        <v>8</v>
      </c>
      <c r="B274" t="s">
        <v>29</v>
      </c>
      <c r="C274" t="s">
        <v>21</v>
      </c>
      <c r="D274" t="s">
        <v>22</v>
      </c>
      <c r="E274" t="s">
        <v>12</v>
      </c>
      <c r="F274">
        <v>47</v>
      </c>
      <c r="G274">
        <v>53</v>
      </c>
      <c r="H274">
        <v>58</v>
      </c>
    </row>
    <row r="275" spans="1:8" x14ac:dyDescent="0.25">
      <c r="A275" t="s">
        <v>8</v>
      </c>
      <c r="B275" t="s">
        <v>29</v>
      </c>
      <c r="C275" t="s">
        <v>15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25">
      <c r="A276" t="s">
        <v>19</v>
      </c>
      <c r="B276" t="s">
        <v>9</v>
      </c>
      <c r="C276" t="s">
        <v>15</v>
      </c>
      <c r="D276" t="s">
        <v>11</v>
      </c>
      <c r="E276" t="s">
        <v>16</v>
      </c>
      <c r="F276">
        <v>88</v>
      </c>
      <c r="G276">
        <v>85</v>
      </c>
      <c r="H276">
        <v>76</v>
      </c>
    </row>
    <row r="277" spans="1:8" x14ac:dyDescent="0.25">
      <c r="A277" t="s">
        <v>19</v>
      </c>
      <c r="B277" t="s">
        <v>14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25">
      <c r="A278" t="s">
        <v>8</v>
      </c>
      <c r="B278" t="s">
        <v>14</v>
      </c>
      <c r="C278" t="s">
        <v>38</v>
      </c>
      <c r="D278" t="s">
        <v>11</v>
      </c>
      <c r="E278" t="s">
        <v>16</v>
      </c>
      <c r="F278">
        <v>85</v>
      </c>
      <c r="G278">
        <v>92</v>
      </c>
      <c r="H278">
        <v>93</v>
      </c>
    </row>
    <row r="279" spans="1:8" x14ac:dyDescent="0.25">
      <c r="A279" t="s">
        <v>8</v>
      </c>
      <c r="B279" t="s">
        <v>39</v>
      </c>
      <c r="C279" t="s">
        <v>30</v>
      </c>
      <c r="D279" t="s">
        <v>11</v>
      </c>
      <c r="E279" t="s">
        <v>16</v>
      </c>
      <c r="F279">
        <v>59</v>
      </c>
      <c r="G279">
        <v>63</v>
      </c>
      <c r="H279">
        <v>75</v>
      </c>
    </row>
    <row r="280" spans="1:8" x14ac:dyDescent="0.25">
      <c r="A280" t="s">
        <v>8</v>
      </c>
      <c r="B280" t="s">
        <v>14</v>
      </c>
      <c r="C280" t="s">
        <v>38</v>
      </c>
      <c r="D280" t="s">
        <v>22</v>
      </c>
      <c r="E280" t="s">
        <v>12</v>
      </c>
      <c r="F280">
        <v>65</v>
      </c>
      <c r="G280">
        <v>86</v>
      </c>
      <c r="H280">
        <v>80</v>
      </c>
    </row>
    <row r="281" spans="1:8" x14ac:dyDescent="0.25">
      <c r="A281" t="s">
        <v>19</v>
      </c>
      <c r="B281" t="s">
        <v>9</v>
      </c>
      <c r="C281" t="s">
        <v>10</v>
      </c>
      <c r="D281" t="s">
        <v>22</v>
      </c>
      <c r="E281" t="s">
        <v>12</v>
      </c>
      <c r="F281">
        <v>73</v>
      </c>
      <c r="G281">
        <v>56</v>
      </c>
      <c r="H281">
        <v>57</v>
      </c>
    </row>
    <row r="282" spans="1:8" x14ac:dyDescent="0.25">
      <c r="A282" t="s">
        <v>19</v>
      </c>
      <c r="B282" t="s">
        <v>29</v>
      </c>
      <c r="C282" t="s">
        <v>30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25">
      <c r="A283" t="s">
        <v>19</v>
      </c>
      <c r="B283" t="s">
        <v>29</v>
      </c>
      <c r="C283" t="s">
        <v>30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25">
      <c r="A284" t="s">
        <v>8</v>
      </c>
      <c r="B284" t="s">
        <v>29</v>
      </c>
      <c r="C284" t="s">
        <v>10</v>
      </c>
      <c r="D284" t="s">
        <v>22</v>
      </c>
      <c r="E284" t="s">
        <v>12</v>
      </c>
      <c r="F284">
        <v>73</v>
      </c>
      <c r="G284">
        <v>79</v>
      </c>
      <c r="H284">
        <v>84</v>
      </c>
    </row>
    <row r="285" spans="1:8" x14ac:dyDescent="0.25">
      <c r="A285" t="s">
        <v>8</v>
      </c>
      <c r="B285" t="s">
        <v>29</v>
      </c>
      <c r="C285" t="s">
        <v>15</v>
      </c>
      <c r="D285" t="s">
        <v>22</v>
      </c>
      <c r="E285" t="s">
        <v>16</v>
      </c>
      <c r="F285">
        <v>70</v>
      </c>
      <c r="G285">
        <v>78</v>
      </c>
      <c r="H285">
        <v>78</v>
      </c>
    </row>
    <row r="286" spans="1:8" x14ac:dyDescent="0.25">
      <c r="A286" t="s">
        <v>8</v>
      </c>
      <c r="B286" t="s">
        <v>9</v>
      </c>
      <c r="C286" t="s">
        <v>38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25">
      <c r="A287" t="s">
        <v>19</v>
      </c>
      <c r="B287" t="s">
        <v>9</v>
      </c>
      <c r="C287" t="s">
        <v>21</v>
      </c>
      <c r="D287" t="s">
        <v>11</v>
      </c>
      <c r="E287" t="s">
        <v>16</v>
      </c>
      <c r="F287">
        <v>81</v>
      </c>
      <c r="G287">
        <v>82</v>
      </c>
      <c r="H287">
        <v>82</v>
      </c>
    </row>
    <row r="288" spans="1:8" x14ac:dyDescent="0.25">
      <c r="A288" t="s">
        <v>19</v>
      </c>
      <c r="B288" t="s">
        <v>39</v>
      </c>
      <c r="C288" t="s">
        <v>21</v>
      </c>
      <c r="D288" t="s">
        <v>11</v>
      </c>
      <c r="E288" t="s">
        <v>16</v>
      </c>
      <c r="F288">
        <v>97</v>
      </c>
      <c r="G288">
        <v>82</v>
      </c>
      <c r="H288">
        <v>88</v>
      </c>
    </row>
    <row r="289" spans="1:8" x14ac:dyDescent="0.25">
      <c r="A289" t="s">
        <v>8</v>
      </c>
      <c r="B289" t="s">
        <v>9</v>
      </c>
      <c r="C289" t="s">
        <v>38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25">
      <c r="A290" t="s">
        <v>19</v>
      </c>
      <c r="B290" t="s">
        <v>9</v>
      </c>
      <c r="C290" t="s">
        <v>10</v>
      </c>
      <c r="D290" t="s">
        <v>22</v>
      </c>
      <c r="E290" t="s">
        <v>12</v>
      </c>
      <c r="F290">
        <v>88</v>
      </c>
      <c r="G290">
        <v>75</v>
      </c>
      <c r="H290">
        <v>76</v>
      </c>
    </row>
    <row r="291" spans="1:8" x14ac:dyDescent="0.25">
      <c r="A291" t="s">
        <v>19</v>
      </c>
      <c r="B291" t="s">
        <v>39</v>
      </c>
      <c r="C291" t="s">
        <v>38</v>
      </c>
      <c r="D291" t="s">
        <v>11</v>
      </c>
      <c r="E291" t="s">
        <v>16</v>
      </c>
      <c r="F291">
        <v>77</v>
      </c>
      <c r="G291">
        <v>76</v>
      </c>
      <c r="H291">
        <v>77</v>
      </c>
    </row>
    <row r="292" spans="1:8" x14ac:dyDescent="0.25">
      <c r="A292" t="s">
        <v>19</v>
      </c>
      <c r="B292" t="s">
        <v>14</v>
      </c>
      <c r="C292" t="s">
        <v>21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25">
      <c r="A293" t="s">
        <v>19</v>
      </c>
      <c r="B293" t="s">
        <v>29</v>
      </c>
      <c r="C293" t="s">
        <v>38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25">
      <c r="A294" t="s">
        <v>19</v>
      </c>
      <c r="B294" t="s">
        <v>14</v>
      </c>
      <c r="C294" t="s">
        <v>38</v>
      </c>
      <c r="D294" t="s">
        <v>11</v>
      </c>
      <c r="E294" t="s">
        <v>16</v>
      </c>
      <c r="F294">
        <v>63</v>
      </c>
      <c r="G294">
        <v>60</v>
      </c>
      <c r="H294">
        <v>57</v>
      </c>
    </row>
    <row r="295" spans="1:8" x14ac:dyDescent="0.25">
      <c r="A295" t="s">
        <v>8</v>
      </c>
      <c r="B295" t="s">
        <v>39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25">
      <c r="A296" t="s">
        <v>19</v>
      </c>
      <c r="B296" t="s">
        <v>29</v>
      </c>
      <c r="C296" t="s">
        <v>30</v>
      </c>
      <c r="D296" t="s">
        <v>22</v>
      </c>
      <c r="E296" t="s">
        <v>16</v>
      </c>
      <c r="F296">
        <v>78</v>
      </c>
      <c r="G296">
        <v>77</v>
      </c>
      <c r="H296">
        <v>80</v>
      </c>
    </row>
    <row r="297" spans="1:8" x14ac:dyDescent="0.25">
      <c r="A297" t="s">
        <v>19</v>
      </c>
      <c r="B297" t="s">
        <v>9</v>
      </c>
      <c r="C297" t="s">
        <v>21</v>
      </c>
      <c r="D297" t="s">
        <v>22</v>
      </c>
      <c r="E297" t="s">
        <v>12</v>
      </c>
      <c r="F297">
        <v>67</v>
      </c>
      <c r="G297">
        <v>62</v>
      </c>
      <c r="H297">
        <v>60</v>
      </c>
    </row>
    <row r="298" spans="1:8" x14ac:dyDescent="0.25">
      <c r="A298" t="s">
        <v>19</v>
      </c>
      <c r="B298" t="s">
        <v>20</v>
      </c>
      <c r="C298" t="s">
        <v>38</v>
      </c>
      <c r="D298" t="s">
        <v>11</v>
      </c>
      <c r="E298" t="s">
        <v>16</v>
      </c>
      <c r="F298">
        <v>46</v>
      </c>
      <c r="G298">
        <v>41</v>
      </c>
      <c r="H298">
        <v>43</v>
      </c>
    </row>
    <row r="299" spans="1:8" x14ac:dyDescent="0.25">
      <c r="A299" t="s">
        <v>19</v>
      </c>
      <c r="B299" t="s">
        <v>39</v>
      </c>
      <c r="C299" t="s">
        <v>21</v>
      </c>
      <c r="D299" t="s">
        <v>11</v>
      </c>
      <c r="E299" t="s">
        <v>16</v>
      </c>
      <c r="F299">
        <v>71</v>
      </c>
      <c r="G299">
        <v>74</v>
      </c>
      <c r="H299">
        <v>68</v>
      </c>
    </row>
    <row r="300" spans="1:8" x14ac:dyDescent="0.25">
      <c r="A300" t="s">
        <v>19</v>
      </c>
      <c r="B300" t="s">
        <v>14</v>
      </c>
      <c r="C300" t="s">
        <v>30</v>
      </c>
      <c r="D300" t="s">
        <v>22</v>
      </c>
      <c r="E300" t="s">
        <v>16</v>
      </c>
      <c r="F300">
        <v>40</v>
      </c>
      <c r="G300">
        <v>46</v>
      </c>
      <c r="H300">
        <v>50</v>
      </c>
    </row>
    <row r="301" spans="1:8" x14ac:dyDescent="0.25">
      <c r="A301" t="s">
        <v>19</v>
      </c>
      <c r="B301" t="s">
        <v>29</v>
      </c>
      <c r="C301" t="s">
        <v>21</v>
      </c>
      <c r="D301" t="s">
        <v>22</v>
      </c>
      <c r="E301" t="s">
        <v>12</v>
      </c>
      <c r="F301">
        <v>90</v>
      </c>
      <c r="G301">
        <v>87</v>
      </c>
      <c r="H301">
        <v>75</v>
      </c>
    </row>
    <row r="302" spans="1:8" x14ac:dyDescent="0.25">
      <c r="A302" t="s">
        <v>19</v>
      </c>
      <c r="B302" t="s">
        <v>20</v>
      </c>
      <c r="C302" t="s">
        <v>15</v>
      </c>
      <c r="D302" t="s">
        <v>22</v>
      </c>
      <c r="E302" t="s">
        <v>16</v>
      </c>
      <c r="F302">
        <v>81</v>
      </c>
      <c r="G302">
        <v>78</v>
      </c>
      <c r="H302">
        <v>81</v>
      </c>
    </row>
    <row r="303" spans="1:8" x14ac:dyDescent="0.25">
      <c r="A303" t="s">
        <v>19</v>
      </c>
      <c r="B303" t="s">
        <v>29</v>
      </c>
      <c r="C303" t="s">
        <v>38</v>
      </c>
      <c r="D303" t="s">
        <v>22</v>
      </c>
      <c r="E303" t="s">
        <v>12</v>
      </c>
      <c r="F303">
        <v>56</v>
      </c>
      <c r="G303">
        <v>54</v>
      </c>
      <c r="H303">
        <v>52</v>
      </c>
    </row>
    <row r="304" spans="1:8" x14ac:dyDescent="0.25">
      <c r="A304" t="s">
        <v>8</v>
      </c>
      <c r="B304" t="s">
        <v>14</v>
      </c>
      <c r="C304" t="s">
        <v>21</v>
      </c>
      <c r="D304" t="s">
        <v>11</v>
      </c>
      <c r="E304" t="s">
        <v>16</v>
      </c>
      <c r="F304">
        <v>67</v>
      </c>
      <c r="G304">
        <v>84</v>
      </c>
      <c r="H304">
        <v>81</v>
      </c>
    </row>
    <row r="305" spans="1:8" x14ac:dyDescent="0.25">
      <c r="A305" t="s">
        <v>19</v>
      </c>
      <c r="B305" t="s">
        <v>9</v>
      </c>
      <c r="C305" t="s">
        <v>21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25">
      <c r="A306" t="s">
        <v>8</v>
      </c>
      <c r="B306" t="s">
        <v>14</v>
      </c>
      <c r="C306" t="s">
        <v>21</v>
      </c>
      <c r="D306" t="s">
        <v>11</v>
      </c>
      <c r="E306" t="s">
        <v>16</v>
      </c>
      <c r="F306">
        <v>74</v>
      </c>
      <c r="G306">
        <v>75</v>
      </c>
      <c r="H306">
        <v>83</v>
      </c>
    </row>
    <row r="307" spans="1:8" x14ac:dyDescent="0.25">
      <c r="A307" t="s">
        <v>19</v>
      </c>
      <c r="B307" t="s">
        <v>20</v>
      </c>
      <c r="C307" t="s">
        <v>15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25">
      <c r="A308" t="s">
        <v>19</v>
      </c>
      <c r="B308" t="s">
        <v>39</v>
      </c>
      <c r="C308" t="s">
        <v>15</v>
      </c>
      <c r="D308" t="s">
        <v>11</v>
      </c>
      <c r="E308" t="s">
        <v>16</v>
      </c>
      <c r="F308">
        <v>99</v>
      </c>
      <c r="G308">
        <v>87</v>
      </c>
      <c r="H308">
        <v>81</v>
      </c>
    </row>
    <row r="309" spans="1:8" x14ac:dyDescent="0.25">
      <c r="A309" t="s">
        <v>19</v>
      </c>
      <c r="B309" t="s">
        <v>14</v>
      </c>
      <c r="C309" t="s">
        <v>38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25">
      <c r="A310" t="s">
        <v>8</v>
      </c>
      <c r="B310" t="s">
        <v>9</v>
      </c>
      <c r="C310" t="s">
        <v>21</v>
      </c>
      <c r="D310" t="s">
        <v>22</v>
      </c>
      <c r="E310" t="s">
        <v>12</v>
      </c>
      <c r="F310">
        <v>53</v>
      </c>
      <c r="G310">
        <v>71</v>
      </c>
      <c r="H310">
        <v>67</v>
      </c>
    </row>
    <row r="311" spans="1:8" x14ac:dyDescent="0.25">
      <c r="A311" t="s">
        <v>8</v>
      </c>
      <c r="B311" t="s">
        <v>29</v>
      </c>
      <c r="C311" t="s">
        <v>30</v>
      </c>
      <c r="D311" t="s">
        <v>22</v>
      </c>
      <c r="E311" t="s">
        <v>12</v>
      </c>
      <c r="F311">
        <v>49</v>
      </c>
      <c r="G311">
        <v>57</v>
      </c>
      <c r="H311">
        <v>52</v>
      </c>
    </row>
    <row r="312" spans="1:8" x14ac:dyDescent="0.25">
      <c r="A312" t="s">
        <v>8</v>
      </c>
      <c r="B312" t="s">
        <v>9</v>
      </c>
      <c r="C312" t="s">
        <v>21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25">
      <c r="A313" t="s">
        <v>19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25">
      <c r="A314" t="s">
        <v>19</v>
      </c>
      <c r="B314" t="s">
        <v>29</v>
      </c>
      <c r="C314" t="s">
        <v>10</v>
      </c>
      <c r="D314" t="s">
        <v>11</v>
      </c>
      <c r="E314" t="s">
        <v>16</v>
      </c>
      <c r="F314">
        <v>67</v>
      </c>
      <c r="G314">
        <v>61</v>
      </c>
      <c r="H314">
        <v>68</v>
      </c>
    </row>
    <row r="315" spans="1:8" x14ac:dyDescent="0.25">
      <c r="A315" t="s">
        <v>8</v>
      </c>
      <c r="B315" t="s">
        <v>14</v>
      </c>
      <c r="C315" t="s">
        <v>21</v>
      </c>
      <c r="D315" t="s">
        <v>22</v>
      </c>
      <c r="E315" t="s">
        <v>16</v>
      </c>
      <c r="F315">
        <v>68</v>
      </c>
      <c r="G315">
        <v>67</v>
      </c>
      <c r="H315">
        <v>69</v>
      </c>
    </row>
    <row r="316" spans="1:8" x14ac:dyDescent="0.25">
      <c r="A316" t="s">
        <v>8</v>
      </c>
      <c r="B316" t="s">
        <v>14</v>
      </c>
      <c r="C316" t="s">
        <v>10</v>
      </c>
      <c r="D316" t="s">
        <v>11</v>
      </c>
      <c r="E316" t="s">
        <v>16</v>
      </c>
      <c r="F316">
        <v>59</v>
      </c>
      <c r="G316">
        <v>64</v>
      </c>
      <c r="H316">
        <v>75</v>
      </c>
    </row>
    <row r="317" spans="1:8" x14ac:dyDescent="0.25">
      <c r="A317" t="s">
        <v>19</v>
      </c>
      <c r="B317" t="s">
        <v>14</v>
      </c>
      <c r="C317" t="s">
        <v>30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25">
      <c r="A318" t="s">
        <v>8</v>
      </c>
      <c r="B318" t="s">
        <v>29</v>
      </c>
      <c r="C318" t="s">
        <v>18</v>
      </c>
      <c r="D318" t="s">
        <v>11</v>
      </c>
      <c r="E318" t="s">
        <v>16</v>
      </c>
      <c r="F318">
        <v>77</v>
      </c>
      <c r="G318">
        <v>82</v>
      </c>
      <c r="H318">
        <v>91</v>
      </c>
    </row>
    <row r="319" spans="1:8" x14ac:dyDescent="0.25">
      <c r="A319" t="s">
        <v>19</v>
      </c>
      <c r="B319" t="s">
        <v>14</v>
      </c>
      <c r="C319" t="s">
        <v>21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25">
      <c r="A320" t="s">
        <v>19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25">
      <c r="A321" t="s">
        <v>8</v>
      </c>
      <c r="B321" t="s">
        <v>29</v>
      </c>
      <c r="C321" t="s">
        <v>21</v>
      </c>
      <c r="D321" t="s">
        <v>22</v>
      </c>
      <c r="E321" t="s">
        <v>12</v>
      </c>
      <c r="F321">
        <v>56</v>
      </c>
      <c r="G321">
        <v>65</v>
      </c>
      <c r="H321">
        <v>63</v>
      </c>
    </row>
    <row r="322" spans="1:8" x14ac:dyDescent="0.25">
      <c r="A322" t="s">
        <v>8</v>
      </c>
      <c r="B322" t="s">
        <v>14</v>
      </c>
      <c r="C322" t="s">
        <v>30</v>
      </c>
      <c r="D322" t="s">
        <v>22</v>
      </c>
      <c r="E322" t="s">
        <v>16</v>
      </c>
      <c r="F322">
        <v>67</v>
      </c>
      <c r="G322">
        <v>79</v>
      </c>
      <c r="H322">
        <v>84</v>
      </c>
    </row>
    <row r="323" spans="1:8" x14ac:dyDescent="0.25">
      <c r="A323" t="s">
        <v>8</v>
      </c>
      <c r="B323" t="s">
        <v>39</v>
      </c>
      <c r="C323" t="s">
        <v>30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25">
      <c r="A324" t="s">
        <v>8</v>
      </c>
      <c r="B324" t="s">
        <v>14</v>
      </c>
      <c r="C324" t="s">
        <v>15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25">
      <c r="A325" t="s">
        <v>8</v>
      </c>
      <c r="B325" t="s">
        <v>14</v>
      </c>
      <c r="C325" t="s">
        <v>38</v>
      </c>
      <c r="D325" t="s">
        <v>22</v>
      </c>
      <c r="E325" t="s">
        <v>12</v>
      </c>
      <c r="F325">
        <v>43</v>
      </c>
      <c r="G325">
        <v>53</v>
      </c>
      <c r="H325">
        <v>53</v>
      </c>
    </row>
    <row r="326" spans="1:8" x14ac:dyDescent="0.25">
      <c r="A326" t="s">
        <v>8</v>
      </c>
      <c r="B326" t="s">
        <v>14</v>
      </c>
      <c r="C326" t="s">
        <v>30</v>
      </c>
      <c r="D326" t="s">
        <v>22</v>
      </c>
      <c r="E326" t="s">
        <v>12</v>
      </c>
      <c r="F326">
        <v>41</v>
      </c>
      <c r="G326">
        <v>46</v>
      </c>
      <c r="H326">
        <v>43</v>
      </c>
    </row>
    <row r="327" spans="1:8" x14ac:dyDescent="0.25">
      <c r="A327" t="s">
        <v>8</v>
      </c>
      <c r="B327" t="s">
        <v>14</v>
      </c>
      <c r="C327" t="s">
        <v>15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25">
      <c r="A328" t="s">
        <v>19</v>
      </c>
      <c r="B328" t="s">
        <v>14</v>
      </c>
      <c r="C328" t="s">
        <v>15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25">
      <c r="A329" t="s">
        <v>19</v>
      </c>
      <c r="B329" t="s">
        <v>20</v>
      </c>
      <c r="C329" t="s">
        <v>15</v>
      </c>
      <c r="D329" t="s">
        <v>22</v>
      </c>
      <c r="E329" t="s">
        <v>12</v>
      </c>
      <c r="F329">
        <v>28</v>
      </c>
      <c r="G329">
        <v>23</v>
      </c>
      <c r="H329">
        <v>19</v>
      </c>
    </row>
    <row r="330" spans="1:8" x14ac:dyDescent="0.25">
      <c r="A330" t="s">
        <v>19</v>
      </c>
      <c r="B330" t="s">
        <v>14</v>
      </c>
      <c r="C330" t="s">
        <v>21</v>
      </c>
      <c r="D330" t="s">
        <v>11</v>
      </c>
      <c r="E330" t="s">
        <v>16</v>
      </c>
      <c r="F330">
        <v>82</v>
      </c>
      <c r="G330">
        <v>75</v>
      </c>
      <c r="H330">
        <v>77</v>
      </c>
    </row>
    <row r="331" spans="1:8" x14ac:dyDescent="0.25">
      <c r="A331" t="s">
        <v>8</v>
      </c>
      <c r="B331" t="s">
        <v>9</v>
      </c>
      <c r="C331" t="s">
        <v>38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25">
      <c r="A332" t="s">
        <v>19</v>
      </c>
      <c r="B332" t="s">
        <v>14</v>
      </c>
      <c r="C332" t="s">
        <v>30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25">
      <c r="A333" t="s">
        <v>19</v>
      </c>
      <c r="B333" t="s">
        <v>14</v>
      </c>
      <c r="C333" t="s">
        <v>21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25">
      <c r="A334" t="s">
        <v>19</v>
      </c>
      <c r="B334" t="s">
        <v>39</v>
      </c>
      <c r="C334" t="s">
        <v>21</v>
      </c>
      <c r="D334" t="s">
        <v>11</v>
      </c>
      <c r="E334" t="s">
        <v>16</v>
      </c>
      <c r="F334">
        <v>62</v>
      </c>
      <c r="G334">
        <v>56</v>
      </c>
      <c r="H334">
        <v>53</v>
      </c>
    </row>
    <row r="335" spans="1:8" x14ac:dyDescent="0.25">
      <c r="A335" t="s">
        <v>19</v>
      </c>
      <c r="B335" t="s">
        <v>9</v>
      </c>
      <c r="C335" t="s">
        <v>21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25">
      <c r="A336" t="s">
        <v>8</v>
      </c>
      <c r="B336" t="s">
        <v>14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25">
      <c r="A337" t="s">
        <v>8</v>
      </c>
      <c r="B337" t="s">
        <v>9</v>
      </c>
      <c r="C337" t="s">
        <v>15</v>
      </c>
      <c r="D337" t="s">
        <v>22</v>
      </c>
      <c r="E337" t="s">
        <v>12</v>
      </c>
      <c r="F337">
        <v>61</v>
      </c>
      <c r="G337">
        <v>68</v>
      </c>
      <c r="H337">
        <v>66</v>
      </c>
    </row>
    <row r="338" spans="1:8" x14ac:dyDescent="0.25">
      <c r="A338" t="s">
        <v>19</v>
      </c>
      <c r="B338" t="s">
        <v>29</v>
      </c>
      <c r="C338" t="s">
        <v>38</v>
      </c>
      <c r="D338" t="s">
        <v>11</v>
      </c>
      <c r="E338" t="s">
        <v>16</v>
      </c>
      <c r="F338">
        <v>76</v>
      </c>
      <c r="G338">
        <v>70</v>
      </c>
      <c r="H338">
        <v>69</v>
      </c>
    </row>
    <row r="339" spans="1:8" x14ac:dyDescent="0.25">
      <c r="A339" t="s">
        <v>19</v>
      </c>
      <c r="B339" t="s">
        <v>14</v>
      </c>
      <c r="C339" t="s">
        <v>21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25">
      <c r="A340" t="s">
        <v>8</v>
      </c>
      <c r="B340" t="s">
        <v>9</v>
      </c>
      <c r="C340" t="s">
        <v>38</v>
      </c>
      <c r="D340" t="s">
        <v>22</v>
      </c>
      <c r="E340" t="s">
        <v>12</v>
      </c>
      <c r="F340">
        <v>24</v>
      </c>
      <c r="G340">
        <v>38</v>
      </c>
      <c r="H340">
        <v>27</v>
      </c>
    </row>
    <row r="341" spans="1:8" x14ac:dyDescent="0.25">
      <c r="A341" t="s">
        <v>8</v>
      </c>
      <c r="B341" t="s">
        <v>29</v>
      </c>
      <c r="C341" t="s">
        <v>38</v>
      </c>
      <c r="D341" t="s">
        <v>22</v>
      </c>
      <c r="E341" t="s">
        <v>16</v>
      </c>
      <c r="F341">
        <v>35</v>
      </c>
      <c r="G341">
        <v>55</v>
      </c>
      <c r="H341">
        <v>60</v>
      </c>
    </row>
    <row r="342" spans="1:8" x14ac:dyDescent="0.25">
      <c r="A342" t="s">
        <v>19</v>
      </c>
      <c r="B342" t="s">
        <v>14</v>
      </c>
      <c r="C342" t="s">
        <v>30</v>
      </c>
      <c r="D342" t="s">
        <v>22</v>
      </c>
      <c r="E342" t="s">
        <v>12</v>
      </c>
      <c r="F342">
        <v>58</v>
      </c>
      <c r="G342">
        <v>61</v>
      </c>
      <c r="H342">
        <v>52</v>
      </c>
    </row>
    <row r="343" spans="1:8" x14ac:dyDescent="0.25">
      <c r="A343" t="s">
        <v>8</v>
      </c>
      <c r="B343" t="s">
        <v>14</v>
      </c>
      <c r="C343" t="s">
        <v>30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25">
      <c r="A344" t="s">
        <v>8</v>
      </c>
      <c r="B344" t="s">
        <v>9</v>
      </c>
      <c r="C344" t="s">
        <v>30</v>
      </c>
      <c r="D344" t="s">
        <v>11</v>
      </c>
      <c r="E344" t="s">
        <v>16</v>
      </c>
      <c r="F344">
        <v>69</v>
      </c>
      <c r="G344">
        <v>76</v>
      </c>
      <c r="H344">
        <v>74</v>
      </c>
    </row>
    <row r="345" spans="1:8" x14ac:dyDescent="0.25">
      <c r="A345" t="s">
        <v>19</v>
      </c>
      <c r="B345" t="s">
        <v>29</v>
      </c>
      <c r="C345" t="s">
        <v>21</v>
      </c>
      <c r="D345" t="s">
        <v>11</v>
      </c>
      <c r="E345" t="s">
        <v>16</v>
      </c>
      <c r="F345">
        <v>67</v>
      </c>
      <c r="G345">
        <v>72</v>
      </c>
      <c r="H345">
        <v>67</v>
      </c>
    </row>
    <row r="346" spans="1:8" x14ac:dyDescent="0.25">
      <c r="A346" t="s">
        <v>19</v>
      </c>
      <c r="B346" t="s">
        <v>29</v>
      </c>
      <c r="C346" t="s">
        <v>15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25">
      <c r="A347" t="s">
        <v>8</v>
      </c>
      <c r="B347" t="s">
        <v>14</v>
      </c>
      <c r="C347" t="s">
        <v>30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25">
      <c r="A348" t="s">
        <v>19</v>
      </c>
      <c r="B348" t="s">
        <v>9</v>
      </c>
      <c r="C348" t="s">
        <v>15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25">
      <c r="A349" t="s">
        <v>8</v>
      </c>
      <c r="B349" t="s">
        <v>14</v>
      </c>
      <c r="C349" t="s">
        <v>10</v>
      </c>
      <c r="D349" t="s">
        <v>11</v>
      </c>
      <c r="E349" t="s">
        <v>16</v>
      </c>
      <c r="F349">
        <v>77</v>
      </c>
      <c r="G349">
        <v>94</v>
      </c>
      <c r="H349">
        <v>95</v>
      </c>
    </row>
    <row r="350" spans="1:8" x14ac:dyDescent="0.25">
      <c r="A350" t="s">
        <v>19</v>
      </c>
      <c r="B350" t="s">
        <v>29</v>
      </c>
      <c r="C350" t="s">
        <v>30</v>
      </c>
      <c r="D350" t="s">
        <v>22</v>
      </c>
      <c r="E350" t="s">
        <v>12</v>
      </c>
      <c r="F350">
        <v>75</v>
      </c>
      <c r="G350">
        <v>74</v>
      </c>
      <c r="H350">
        <v>66</v>
      </c>
    </row>
    <row r="351" spans="1:8" x14ac:dyDescent="0.25">
      <c r="A351" t="s">
        <v>19</v>
      </c>
      <c r="B351" t="s">
        <v>39</v>
      </c>
      <c r="C351" t="s">
        <v>21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2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25">
      <c r="A353" t="s">
        <v>19</v>
      </c>
      <c r="B353" t="s">
        <v>39</v>
      </c>
      <c r="C353" t="s">
        <v>15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25">
      <c r="A354" t="s">
        <v>8</v>
      </c>
      <c r="B354" t="s">
        <v>14</v>
      </c>
      <c r="C354" t="s">
        <v>15</v>
      </c>
      <c r="D354" t="s">
        <v>11</v>
      </c>
      <c r="E354" t="s">
        <v>16</v>
      </c>
      <c r="F354">
        <v>63</v>
      </c>
      <c r="G354">
        <v>78</v>
      </c>
      <c r="H354">
        <v>80</v>
      </c>
    </row>
    <row r="355" spans="1:8" x14ac:dyDescent="0.25">
      <c r="A355" t="s">
        <v>8</v>
      </c>
      <c r="B355" t="s">
        <v>14</v>
      </c>
      <c r="C355" t="s">
        <v>21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25">
      <c r="A356" t="s">
        <v>8</v>
      </c>
      <c r="B356" t="s">
        <v>14</v>
      </c>
      <c r="C356" t="s">
        <v>15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2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25">
      <c r="A358" t="s">
        <v>19</v>
      </c>
      <c r="B358" t="s">
        <v>20</v>
      </c>
      <c r="C358" t="s">
        <v>21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25">
      <c r="A359" t="s">
        <v>8</v>
      </c>
      <c r="B359" t="s">
        <v>14</v>
      </c>
      <c r="C359" t="s">
        <v>15</v>
      </c>
      <c r="D359" t="s">
        <v>22</v>
      </c>
      <c r="E359" t="s">
        <v>16</v>
      </c>
      <c r="F359">
        <v>42</v>
      </c>
      <c r="G359">
        <v>66</v>
      </c>
      <c r="H359">
        <v>69</v>
      </c>
    </row>
    <row r="360" spans="1:8" x14ac:dyDescent="0.25">
      <c r="A360" t="s">
        <v>19</v>
      </c>
      <c r="B360" t="s">
        <v>29</v>
      </c>
      <c r="C360" t="s">
        <v>15</v>
      </c>
      <c r="D360" t="s">
        <v>22</v>
      </c>
      <c r="E360" t="s">
        <v>12</v>
      </c>
      <c r="F360">
        <v>59</v>
      </c>
      <c r="G360">
        <v>62</v>
      </c>
      <c r="H360">
        <v>61</v>
      </c>
    </row>
    <row r="361" spans="1:8" x14ac:dyDescent="0.25">
      <c r="A361" t="s">
        <v>8</v>
      </c>
      <c r="B361" t="s">
        <v>29</v>
      </c>
      <c r="C361" t="s">
        <v>15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25">
      <c r="A362" t="s">
        <v>8</v>
      </c>
      <c r="B362" t="s">
        <v>9</v>
      </c>
      <c r="C362" t="s">
        <v>30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25">
      <c r="A363" t="s">
        <v>19</v>
      </c>
      <c r="B363" t="s">
        <v>9</v>
      </c>
      <c r="C363" t="s">
        <v>38</v>
      </c>
      <c r="D363" t="s">
        <v>11</v>
      </c>
      <c r="E363" t="s">
        <v>16</v>
      </c>
      <c r="F363">
        <v>85</v>
      </c>
      <c r="G363">
        <v>84</v>
      </c>
      <c r="H363">
        <v>78</v>
      </c>
    </row>
    <row r="364" spans="1:8" x14ac:dyDescent="0.25">
      <c r="A364" t="s">
        <v>8</v>
      </c>
      <c r="B364" t="s">
        <v>14</v>
      </c>
      <c r="C364" t="s">
        <v>15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25">
      <c r="A365" t="s">
        <v>8</v>
      </c>
      <c r="B365" t="s">
        <v>29</v>
      </c>
      <c r="C365" t="s">
        <v>38</v>
      </c>
      <c r="D365" t="s">
        <v>22</v>
      </c>
      <c r="E365" t="s">
        <v>12</v>
      </c>
      <c r="F365">
        <v>27</v>
      </c>
      <c r="G365">
        <v>34</v>
      </c>
      <c r="H365">
        <v>32</v>
      </c>
    </row>
    <row r="366" spans="1:8" x14ac:dyDescent="0.25">
      <c r="A366" t="s">
        <v>19</v>
      </c>
      <c r="B366" t="s">
        <v>14</v>
      </c>
      <c r="C366" t="s">
        <v>15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25">
      <c r="A367" t="s">
        <v>19</v>
      </c>
      <c r="B367" t="s">
        <v>20</v>
      </c>
      <c r="C367" t="s">
        <v>10</v>
      </c>
      <c r="D367" t="s">
        <v>22</v>
      </c>
      <c r="E367" t="s">
        <v>16</v>
      </c>
      <c r="F367">
        <v>49</v>
      </c>
      <c r="G367">
        <v>58</v>
      </c>
      <c r="H367">
        <v>60</v>
      </c>
    </row>
    <row r="368" spans="1:8" x14ac:dyDescent="0.25">
      <c r="A368" t="s">
        <v>19</v>
      </c>
      <c r="B368" t="s">
        <v>14</v>
      </c>
      <c r="C368" t="s">
        <v>30</v>
      </c>
      <c r="D368" t="s">
        <v>11</v>
      </c>
      <c r="E368" t="s">
        <v>16</v>
      </c>
      <c r="F368">
        <v>69</v>
      </c>
      <c r="G368">
        <v>58</v>
      </c>
      <c r="H368">
        <v>53</v>
      </c>
    </row>
    <row r="369" spans="1:8" x14ac:dyDescent="0.25">
      <c r="A369" t="s">
        <v>19</v>
      </c>
      <c r="B369" t="s">
        <v>14</v>
      </c>
      <c r="C369" t="s">
        <v>10</v>
      </c>
      <c r="D369" t="s">
        <v>22</v>
      </c>
      <c r="E369" t="s">
        <v>12</v>
      </c>
      <c r="F369">
        <v>61</v>
      </c>
      <c r="G369">
        <v>66</v>
      </c>
      <c r="H369">
        <v>61</v>
      </c>
    </row>
    <row r="370" spans="1:8" x14ac:dyDescent="0.25">
      <c r="A370" t="s">
        <v>8</v>
      </c>
      <c r="B370" t="s">
        <v>20</v>
      </c>
      <c r="C370" t="s">
        <v>38</v>
      </c>
      <c r="D370" t="s">
        <v>22</v>
      </c>
      <c r="E370" t="s">
        <v>12</v>
      </c>
      <c r="F370">
        <v>44</v>
      </c>
      <c r="G370">
        <v>64</v>
      </c>
      <c r="H370">
        <v>58</v>
      </c>
    </row>
    <row r="371" spans="1:8" x14ac:dyDescent="0.25">
      <c r="A371" t="s">
        <v>8</v>
      </c>
      <c r="B371" t="s">
        <v>29</v>
      </c>
      <c r="C371" t="s">
        <v>38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25">
      <c r="A372" t="s">
        <v>19</v>
      </c>
      <c r="B372" t="s">
        <v>39</v>
      </c>
      <c r="C372" t="s">
        <v>15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25">
      <c r="A373" t="s">
        <v>8</v>
      </c>
      <c r="B373" t="s">
        <v>14</v>
      </c>
      <c r="C373" t="s">
        <v>15</v>
      </c>
      <c r="D373" t="s">
        <v>22</v>
      </c>
      <c r="E373" t="s">
        <v>16</v>
      </c>
      <c r="F373">
        <v>45</v>
      </c>
      <c r="G373">
        <v>73</v>
      </c>
      <c r="H373">
        <v>70</v>
      </c>
    </row>
    <row r="374" spans="1:8" x14ac:dyDescent="0.25">
      <c r="A374" t="s">
        <v>19</v>
      </c>
      <c r="B374" t="s">
        <v>29</v>
      </c>
      <c r="C374" t="s">
        <v>38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25">
      <c r="A375" t="s">
        <v>8</v>
      </c>
      <c r="B375" t="s">
        <v>29</v>
      </c>
      <c r="C375" t="s">
        <v>15</v>
      </c>
      <c r="D375" t="s">
        <v>11</v>
      </c>
      <c r="E375" t="s">
        <v>16</v>
      </c>
      <c r="F375">
        <v>82</v>
      </c>
      <c r="G375">
        <v>97</v>
      </c>
      <c r="H375">
        <v>96</v>
      </c>
    </row>
    <row r="376" spans="1:8" x14ac:dyDescent="0.25">
      <c r="A376" t="s">
        <v>8</v>
      </c>
      <c r="B376" t="s">
        <v>29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25">
      <c r="A377" t="s">
        <v>19</v>
      </c>
      <c r="B377" t="s">
        <v>39</v>
      </c>
      <c r="C377" t="s">
        <v>21</v>
      </c>
      <c r="D377" t="s">
        <v>22</v>
      </c>
      <c r="E377" t="s">
        <v>12</v>
      </c>
      <c r="F377">
        <v>46</v>
      </c>
      <c r="G377">
        <v>43</v>
      </c>
      <c r="H377">
        <v>41</v>
      </c>
    </row>
    <row r="378" spans="1:8" x14ac:dyDescent="0.25">
      <c r="A378" t="s">
        <v>8</v>
      </c>
      <c r="B378" t="s">
        <v>29</v>
      </c>
      <c r="C378" t="s">
        <v>38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25">
      <c r="A379" t="s">
        <v>8</v>
      </c>
      <c r="B379" t="s">
        <v>29</v>
      </c>
      <c r="C379" t="s">
        <v>18</v>
      </c>
      <c r="D379" t="s">
        <v>22</v>
      </c>
      <c r="E379" t="s">
        <v>16</v>
      </c>
      <c r="F379">
        <v>85</v>
      </c>
      <c r="G379">
        <v>95</v>
      </c>
      <c r="H379">
        <v>100</v>
      </c>
    </row>
    <row r="380" spans="1:8" x14ac:dyDescent="0.25">
      <c r="A380" t="s">
        <v>8</v>
      </c>
      <c r="B380" t="s">
        <v>20</v>
      </c>
      <c r="C380" t="s">
        <v>38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25">
      <c r="A381" t="s">
        <v>19</v>
      </c>
      <c r="B381" t="s">
        <v>20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25">
      <c r="A382" t="s">
        <v>8</v>
      </c>
      <c r="B382" t="s">
        <v>9</v>
      </c>
      <c r="C382" t="s">
        <v>21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25">
      <c r="A383" t="s">
        <v>19</v>
      </c>
      <c r="B383" t="s">
        <v>14</v>
      </c>
      <c r="C383" t="s">
        <v>21</v>
      </c>
      <c r="D383" t="s">
        <v>11</v>
      </c>
      <c r="E383" t="s">
        <v>16</v>
      </c>
      <c r="F383">
        <v>87</v>
      </c>
      <c r="G383">
        <v>100</v>
      </c>
      <c r="H383">
        <v>95</v>
      </c>
    </row>
    <row r="384" spans="1:8" x14ac:dyDescent="0.25">
      <c r="A384" t="s">
        <v>19</v>
      </c>
      <c r="B384" t="s">
        <v>14</v>
      </c>
      <c r="C384" t="s">
        <v>18</v>
      </c>
      <c r="D384" t="s">
        <v>22</v>
      </c>
      <c r="E384" t="s">
        <v>12</v>
      </c>
      <c r="F384">
        <v>79</v>
      </c>
      <c r="G384">
        <v>81</v>
      </c>
      <c r="H384">
        <v>71</v>
      </c>
    </row>
    <row r="385" spans="1:8" x14ac:dyDescent="0.25">
      <c r="A385" t="s">
        <v>8</v>
      </c>
      <c r="B385" t="s">
        <v>39</v>
      </c>
      <c r="C385" t="s">
        <v>38</v>
      </c>
      <c r="D385" t="s">
        <v>22</v>
      </c>
      <c r="E385" t="s">
        <v>12</v>
      </c>
      <c r="F385">
        <v>38</v>
      </c>
      <c r="G385">
        <v>49</v>
      </c>
      <c r="H385">
        <v>45</v>
      </c>
    </row>
    <row r="386" spans="1:8" x14ac:dyDescent="0.25">
      <c r="A386" t="s">
        <v>8</v>
      </c>
      <c r="B386" t="s">
        <v>20</v>
      </c>
      <c r="C386" t="s">
        <v>38</v>
      </c>
      <c r="D386" t="s">
        <v>22</v>
      </c>
      <c r="E386" t="s">
        <v>12</v>
      </c>
      <c r="F386">
        <v>38</v>
      </c>
      <c r="G386">
        <v>43</v>
      </c>
      <c r="H386">
        <v>43</v>
      </c>
    </row>
    <row r="387" spans="1:8" x14ac:dyDescent="0.25">
      <c r="A387" t="s">
        <v>8</v>
      </c>
      <c r="B387" t="s">
        <v>39</v>
      </c>
      <c r="C387" t="s">
        <v>15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25">
      <c r="A388" t="s">
        <v>8</v>
      </c>
      <c r="B388" t="s">
        <v>39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25">
      <c r="A389" t="s">
        <v>8</v>
      </c>
      <c r="B389" t="s">
        <v>14</v>
      </c>
      <c r="C389" t="s">
        <v>21</v>
      </c>
      <c r="D389" t="s">
        <v>22</v>
      </c>
      <c r="E389" t="s">
        <v>12</v>
      </c>
      <c r="F389">
        <v>57</v>
      </c>
      <c r="G389">
        <v>78</v>
      </c>
      <c r="H389">
        <v>67</v>
      </c>
    </row>
    <row r="390" spans="1:8" x14ac:dyDescent="0.25">
      <c r="A390" t="s">
        <v>8</v>
      </c>
      <c r="B390" t="s">
        <v>29</v>
      </c>
      <c r="C390" t="s">
        <v>30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25">
      <c r="A391" t="s">
        <v>19</v>
      </c>
      <c r="B391" t="s">
        <v>29</v>
      </c>
      <c r="C391" t="s">
        <v>18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25">
      <c r="A392" t="s">
        <v>19</v>
      </c>
      <c r="B392" t="s">
        <v>39</v>
      </c>
      <c r="C392" t="s">
        <v>38</v>
      </c>
      <c r="D392" t="s">
        <v>22</v>
      </c>
      <c r="E392" t="s">
        <v>16</v>
      </c>
      <c r="F392">
        <v>73</v>
      </c>
      <c r="G392">
        <v>67</v>
      </c>
      <c r="H392">
        <v>59</v>
      </c>
    </row>
    <row r="393" spans="1:8" x14ac:dyDescent="0.25">
      <c r="A393" t="s">
        <v>8</v>
      </c>
      <c r="B393" t="s">
        <v>29</v>
      </c>
      <c r="C393" t="s">
        <v>15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25">
      <c r="A394" t="s">
        <v>19</v>
      </c>
      <c r="B394" t="s">
        <v>39</v>
      </c>
      <c r="C394" t="s">
        <v>15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25">
      <c r="A395" t="s">
        <v>19</v>
      </c>
      <c r="B395" t="s">
        <v>14</v>
      </c>
      <c r="C395" t="s">
        <v>21</v>
      </c>
      <c r="D395" t="s">
        <v>11</v>
      </c>
      <c r="E395" t="s">
        <v>16</v>
      </c>
      <c r="F395">
        <v>57</v>
      </c>
      <c r="G395">
        <v>54</v>
      </c>
      <c r="H395">
        <v>56</v>
      </c>
    </row>
    <row r="396" spans="1:8" x14ac:dyDescent="0.25">
      <c r="A396" t="s">
        <v>8</v>
      </c>
      <c r="B396" t="s">
        <v>14</v>
      </c>
      <c r="C396" t="s">
        <v>38</v>
      </c>
      <c r="D396" t="s">
        <v>11</v>
      </c>
      <c r="E396" t="s">
        <v>16</v>
      </c>
      <c r="F396">
        <v>65</v>
      </c>
      <c r="G396">
        <v>74</v>
      </c>
      <c r="H396">
        <v>77</v>
      </c>
    </row>
    <row r="397" spans="1:8" x14ac:dyDescent="0.25">
      <c r="A397" t="s">
        <v>19</v>
      </c>
      <c r="B397" t="s">
        <v>20</v>
      </c>
      <c r="C397" t="s">
        <v>30</v>
      </c>
      <c r="D397" t="s">
        <v>22</v>
      </c>
      <c r="E397" t="s">
        <v>12</v>
      </c>
      <c r="F397">
        <v>48</v>
      </c>
      <c r="G397">
        <v>45</v>
      </c>
      <c r="H397">
        <v>41</v>
      </c>
    </row>
    <row r="398" spans="1:8" x14ac:dyDescent="0.25">
      <c r="A398" t="s">
        <v>8</v>
      </c>
      <c r="B398" t="s">
        <v>9</v>
      </c>
      <c r="C398" t="s">
        <v>30</v>
      </c>
      <c r="D398" t="s">
        <v>22</v>
      </c>
      <c r="E398" t="s">
        <v>12</v>
      </c>
      <c r="F398">
        <v>50</v>
      </c>
      <c r="G398">
        <v>67</v>
      </c>
      <c r="H398">
        <v>63</v>
      </c>
    </row>
    <row r="399" spans="1:8" x14ac:dyDescent="0.25">
      <c r="A399" t="s">
        <v>8</v>
      </c>
      <c r="B399" t="s">
        <v>14</v>
      </c>
      <c r="C399" t="s">
        <v>21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25">
      <c r="A400" t="s">
        <v>19</v>
      </c>
      <c r="B400" t="s">
        <v>9</v>
      </c>
      <c r="C400" t="s">
        <v>38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25">
      <c r="A401" t="s">
        <v>19</v>
      </c>
      <c r="B401" t="s">
        <v>29</v>
      </c>
      <c r="C401" t="s">
        <v>38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25">
      <c r="A402" t="s">
        <v>8</v>
      </c>
      <c r="B402" t="s">
        <v>14</v>
      </c>
      <c r="C402" t="s">
        <v>38</v>
      </c>
      <c r="D402" t="s">
        <v>11</v>
      </c>
      <c r="E402" t="s">
        <v>16</v>
      </c>
      <c r="F402">
        <v>59</v>
      </c>
      <c r="G402">
        <v>54</v>
      </c>
      <c r="H402">
        <v>67</v>
      </c>
    </row>
    <row r="403" spans="1:8" x14ac:dyDescent="0.25">
      <c r="A403" t="s">
        <v>19</v>
      </c>
      <c r="B403" t="s">
        <v>20</v>
      </c>
      <c r="C403" t="s">
        <v>15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25">
      <c r="A404" t="s">
        <v>8</v>
      </c>
      <c r="B404" t="s">
        <v>20</v>
      </c>
      <c r="C404" t="s">
        <v>15</v>
      </c>
      <c r="D404" t="s">
        <v>22</v>
      </c>
      <c r="E404" t="s">
        <v>12</v>
      </c>
      <c r="F404">
        <v>49</v>
      </c>
      <c r="G404">
        <v>65</v>
      </c>
      <c r="H404">
        <v>55</v>
      </c>
    </row>
    <row r="405" spans="1:8" x14ac:dyDescent="0.25">
      <c r="A405" t="s">
        <v>8</v>
      </c>
      <c r="B405" t="s">
        <v>29</v>
      </c>
      <c r="C405" t="s">
        <v>30</v>
      </c>
      <c r="D405" t="s">
        <v>11</v>
      </c>
      <c r="E405" t="s">
        <v>16</v>
      </c>
      <c r="F405">
        <v>88</v>
      </c>
      <c r="G405">
        <v>99</v>
      </c>
      <c r="H405">
        <v>100</v>
      </c>
    </row>
    <row r="406" spans="1:8" x14ac:dyDescent="0.25">
      <c r="A406" t="s">
        <v>8</v>
      </c>
      <c r="B406" t="s">
        <v>14</v>
      </c>
      <c r="C406" t="s">
        <v>30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25">
      <c r="A407" t="s">
        <v>8</v>
      </c>
      <c r="B407" t="s">
        <v>14</v>
      </c>
      <c r="C407" t="s">
        <v>38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25">
      <c r="A408" t="s">
        <v>19</v>
      </c>
      <c r="B408" t="s">
        <v>9</v>
      </c>
      <c r="C408" t="s">
        <v>21</v>
      </c>
      <c r="D408" t="s">
        <v>11</v>
      </c>
      <c r="E408" t="s">
        <v>16</v>
      </c>
      <c r="F408">
        <v>65</v>
      </c>
      <c r="G408">
        <v>65</v>
      </c>
      <c r="H408">
        <v>63</v>
      </c>
    </row>
    <row r="409" spans="1:8" x14ac:dyDescent="0.25">
      <c r="A409" t="s">
        <v>8</v>
      </c>
      <c r="B409" t="s">
        <v>9</v>
      </c>
      <c r="C409" t="s">
        <v>21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25">
      <c r="A410" t="s">
        <v>8</v>
      </c>
      <c r="B410" t="s">
        <v>29</v>
      </c>
      <c r="C410" t="s">
        <v>30</v>
      </c>
      <c r="D410" t="s">
        <v>22</v>
      </c>
      <c r="E410" t="s">
        <v>16</v>
      </c>
      <c r="F410">
        <v>52</v>
      </c>
      <c r="G410">
        <v>57</v>
      </c>
      <c r="H410">
        <v>56</v>
      </c>
    </row>
    <row r="411" spans="1:8" x14ac:dyDescent="0.25">
      <c r="A411" t="s">
        <v>19</v>
      </c>
      <c r="B411" t="s">
        <v>29</v>
      </c>
      <c r="C411" t="s">
        <v>21</v>
      </c>
      <c r="D411" t="s">
        <v>11</v>
      </c>
      <c r="E411" t="s">
        <v>16</v>
      </c>
      <c r="F411">
        <v>87</v>
      </c>
      <c r="G411">
        <v>84</v>
      </c>
      <c r="H411">
        <v>85</v>
      </c>
    </row>
    <row r="412" spans="1:8" x14ac:dyDescent="0.25">
      <c r="A412" t="s">
        <v>8</v>
      </c>
      <c r="B412" t="s">
        <v>29</v>
      </c>
      <c r="C412" t="s">
        <v>18</v>
      </c>
      <c r="D412" t="s">
        <v>11</v>
      </c>
      <c r="E412" t="s">
        <v>16</v>
      </c>
      <c r="F412">
        <v>70</v>
      </c>
      <c r="G412">
        <v>71</v>
      </c>
      <c r="H412">
        <v>74</v>
      </c>
    </row>
    <row r="413" spans="1:8" x14ac:dyDescent="0.25">
      <c r="A413" t="s">
        <v>19</v>
      </c>
      <c r="B413" t="s">
        <v>39</v>
      </c>
      <c r="C413" t="s">
        <v>15</v>
      </c>
      <c r="D413" t="s">
        <v>11</v>
      </c>
      <c r="E413" t="s">
        <v>16</v>
      </c>
      <c r="F413">
        <v>84</v>
      </c>
      <c r="G413">
        <v>83</v>
      </c>
      <c r="H413">
        <v>78</v>
      </c>
    </row>
    <row r="414" spans="1:8" x14ac:dyDescent="0.25">
      <c r="A414" t="s">
        <v>19</v>
      </c>
      <c r="B414" t="s">
        <v>29</v>
      </c>
      <c r="C414" t="s">
        <v>21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25">
      <c r="A415" t="s">
        <v>19</v>
      </c>
      <c r="B415" t="s">
        <v>9</v>
      </c>
      <c r="C415" t="s">
        <v>38</v>
      </c>
      <c r="D415" t="s">
        <v>11</v>
      </c>
      <c r="E415" t="s">
        <v>16</v>
      </c>
      <c r="F415">
        <v>63</v>
      </c>
      <c r="G415">
        <v>67</v>
      </c>
      <c r="H415">
        <v>67</v>
      </c>
    </row>
    <row r="416" spans="1:8" x14ac:dyDescent="0.25">
      <c r="A416" t="s">
        <v>8</v>
      </c>
      <c r="B416" t="s">
        <v>14</v>
      </c>
      <c r="C416" t="s">
        <v>10</v>
      </c>
      <c r="D416" t="s">
        <v>22</v>
      </c>
      <c r="E416" t="s">
        <v>16</v>
      </c>
      <c r="F416">
        <v>51</v>
      </c>
      <c r="G416">
        <v>72</v>
      </c>
      <c r="H416">
        <v>79</v>
      </c>
    </row>
    <row r="417" spans="1:8" x14ac:dyDescent="0.25">
      <c r="A417" t="s">
        <v>19</v>
      </c>
      <c r="B417" t="s">
        <v>39</v>
      </c>
      <c r="C417" t="s">
        <v>30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25">
      <c r="A418" t="s">
        <v>19</v>
      </c>
      <c r="B418" t="s">
        <v>14</v>
      </c>
      <c r="C418" t="s">
        <v>10</v>
      </c>
      <c r="D418" t="s">
        <v>11</v>
      </c>
      <c r="E418" t="s">
        <v>16</v>
      </c>
      <c r="F418">
        <v>71</v>
      </c>
      <c r="G418">
        <v>74</v>
      </c>
      <c r="H418">
        <v>68</v>
      </c>
    </row>
    <row r="419" spans="1:8" x14ac:dyDescent="0.25">
      <c r="A419" t="s">
        <v>19</v>
      </c>
      <c r="B419" t="s">
        <v>14</v>
      </c>
      <c r="C419" t="s">
        <v>21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25">
      <c r="A420" t="s">
        <v>19</v>
      </c>
      <c r="B420" t="s">
        <v>29</v>
      </c>
      <c r="C420" t="s">
        <v>15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25">
      <c r="A421" t="s">
        <v>19</v>
      </c>
      <c r="B421" t="s">
        <v>39</v>
      </c>
      <c r="C421" t="s">
        <v>30</v>
      </c>
      <c r="D421" t="s">
        <v>22</v>
      </c>
      <c r="E421" t="s">
        <v>16</v>
      </c>
      <c r="F421">
        <v>57</v>
      </c>
      <c r="G421">
        <v>56</v>
      </c>
      <c r="H421">
        <v>54</v>
      </c>
    </row>
    <row r="422" spans="1:8" x14ac:dyDescent="0.25">
      <c r="A422" t="s">
        <v>8</v>
      </c>
      <c r="B422" t="s">
        <v>14</v>
      </c>
      <c r="C422" t="s">
        <v>21</v>
      </c>
      <c r="D422" t="s">
        <v>22</v>
      </c>
      <c r="E422" t="s">
        <v>16</v>
      </c>
      <c r="F422">
        <v>82</v>
      </c>
      <c r="G422">
        <v>93</v>
      </c>
      <c r="H422">
        <v>93</v>
      </c>
    </row>
    <row r="423" spans="1:8" x14ac:dyDescent="0.25">
      <c r="A423" t="s">
        <v>8</v>
      </c>
      <c r="B423" t="s">
        <v>29</v>
      </c>
      <c r="C423" t="s">
        <v>30</v>
      </c>
      <c r="D423" t="s">
        <v>11</v>
      </c>
      <c r="E423" t="s">
        <v>16</v>
      </c>
      <c r="F423">
        <v>57</v>
      </c>
      <c r="G423">
        <v>58</v>
      </c>
      <c r="H423">
        <v>64</v>
      </c>
    </row>
    <row r="424" spans="1:8" x14ac:dyDescent="0.25">
      <c r="A424" t="s">
        <v>8</v>
      </c>
      <c r="B424" t="s">
        <v>29</v>
      </c>
      <c r="C424" t="s">
        <v>18</v>
      </c>
      <c r="D424" t="s">
        <v>22</v>
      </c>
      <c r="E424" t="s">
        <v>16</v>
      </c>
      <c r="F424">
        <v>47</v>
      </c>
      <c r="G424">
        <v>58</v>
      </c>
      <c r="H424">
        <v>67</v>
      </c>
    </row>
    <row r="425" spans="1:8" x14ac:dyDescent="0.25">
      <c r="A425" t="s">
        <v>8</v>
      </c>
      <c r="B425" t="s">
        <v>20</v>
      </c>
      <c r="C425" t="s">
        <v>38</v>
      </c>
      <c r="D425" t="s">
        <v>11</v>
      </c>
      <c r="E425" t="s">
        <v>16</v>
      </c>
      <c r="F425">
        <v>59</v>
      </c>
      <c r="G425">
        <v>85</v>
      </c>
      <c r="H425">
        <v>80</v>
      </c>
    </row>
    <row r="426" spans="1:8" x14ac:dyDescent="0.25">
      <c r="A426" t="s">
        <v>19</v>
      </c>
      <c r="B426" t="s">
        <v>9</v>
      </c>
      <c r="C426" t="s">
        <v>15</v>
      </c>
      <c r="D426" t="s">
        <v>22</v>
      </c>
      <c r="E426" t="s">
        <v>12</v>
      </c>
      <c r="F426">
        <v>41</v>
      </c>
      <c r="G426">
        <v>39</v>
      </c>
      <c r="H426">
        <v>34</v>
      </c>
    </row>
    <row r="427" spans="1:8" x14ac:dyDescent="0.25">
      <c r="A427" t="s">
        <v>8</v>
      </c>
      <c r="B427" t="s">
        <v>14</v>
      </c>
      <c r="C427" t="s">
        <v>15</v>
      </c>
      <c r="D427" t="s">
        <v>22</v>
      </c>
      <c r="E427" t="s">
        <v>12</v>
      </c>
      <c r="F427">
        <v>62</v>
      </c>
      <c r="G427">
        <v>67</v>
      </c>
      <c r="H427">
        <v>62</v>
      </c>
    </row>
    <row r="428" spans="1:8" x14ac:dyDescent="0.25">
      <c r="A428" t="s">
        <v>19</v>
      </c>
      <c r="B428" t="s">
        <v>14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25">
      <c r="A429" t="s">
        <v>19</v>
      </c>
      <c r="B429" t="s">
        <v>14</v>
      </c>
      <c r="C429" t="s">
        <v>38</v>
      </c>
      <c r="D429" t="s">
        <v>22</v>
      </c>
      <c r="E429" t="s">
        <v>12</v>
      </c>
      <c r="F429">
        <v>69</v>
      </c>
      <c r="G429">
        <v>71</v>
      </c>
      <c r="H429">
        <v>65</v>
      </c>
    </row>
    <row r="430" spans="1:8" x14ac:dyDescent="0.25">
      <c r="A430" t="s">
        <v>19</v>
      </c>
      <c r="B430" t="s">
        <v>20</v>
      </c>
      <c r="C430" t="s">
        <v>38</v>
      </c>
      <c r="D430" t="s">
        <v>22</v>
      </c>
      <c r="E430" t="s">
        <v>12</v>
      </c>
      <c r="F430">
        <v>65</v>
      </c>
      <c r="G430">
        <v>59</v>
      </c>
      <c r="H430">
        <v>53</v>
      </c>
    </row>
    <row r="431" spans="1:8" x14ac:dyDescent="0.25">
      <c r="A431" t="s">
        <v>19</v>
      </c>
      <c r="B431" t="s">
        <v>14</v>
      </c>
      <c r="C431" t="s">
        <v>38</v>
      </c>
      <c r="D431" t="s">
        <v>22</v>
      </c>
      <c r="E431" t="s">
        <v>12</v>
      </c>
      <c r="F431">
        <v>68</v>
      </c>
      <c r="G431">
        <v>63</v>
      </c>
      <c r="H431">
        <v>54</v>
      </c>
    </row>
    <row r="432" spans="1:8" x14ac:dyDescent="0.25">
      <c r="A432" t="s">
        <v>19</v>
      </c>
      <c r="B432" t="s">
        <v>14</v>
      </c>
      <c r="C432" t="s">
        <v>21</v>
      </c>
      <c r="D432" t="s">
        <v>22</v>
      </c>
      <c r="E432" t="s">
        <v>12</v>
      </c>
      <c r="F432">
        <v>64</v>
      </c>
      <c r="G432">
        <v>66</v>
      </c>
      <c r="H432">
        <v>59</v>
      </c>
    </row>
    <row r="433" spans="1:8" x14ac:dyDescent="0.25">
      <c r="A433" t="s">
        <v>8</v>
      </c>
      <c r="B433" t="s">
        <v>14</v>
      </c>
      <c r="C433" t="s">
        <v>30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25">
      <c r="A434" t="s">
        <v>19</v>
      </c>
      <c r="B434" t="s">
        <v>14</v>
      </c>
      <c r="C434" t="s">
        <v>30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25">
      <c r="A435" t="s">
        <v>8</v>
      </c>
      <c r="B435" t="s">
        <v>20</v>
      </c>
      <c r="C435" t="s">
        <v>38</v>
      </c>
      <c r="D435" t="s">
        <v>22</v>
      </c>
      <c r="E435" t="s">
        <v>12</v>
      </c>
      <c r="F435">
        <v>47</v>
      </c>
      <c r="G435">
        <v>59</v>
      </c>
      <c r="H435">
        <v>50</v>
      </c>
    </row>
    <row r="436" spans="1:8" x14ac:dyDescent="0.25">
      <c r="A436" t="s">
        <v>19</v>
      </c>
      <c r="B436" t="s">
        <v>14</v>
      </c>
      <c r="C436" t="s">
        <v>38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25">
      <c r="A437" t="s">
        <v>19</v>
      </c>
      <c r="B437" t="s">
        <v>14</v>
      </c>
      <c r="C437" t="s">
        <v>15</v>
      </c>
      <c r="D437" t="s">
        <v>22</v>
      </c>
      <c r="E437" t="s">
        <v>16</v>
      </c>
      <c r="F437">
        <v>50</v>
      </c>
      <c r="G437">
        <v>48</v>
      </c>
      <c r="H437">
        <v>53</v>
      </c>
    </row>
    <row r="438" spans="1:8" x14ac:dyDescent="0.25">
      <c r="A438" t="s">
        <v>19</v>
      </c>
      <c r="B438" t="s">
        <v>29</v>
      </c>
      <c r="C438" t="s">
        <v>21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25">
      <c r="A439" t="s">
        <v>19</v>
      </c>
      <c r="B439" t="s">
        <v>29</v>
      </c>
      <c r="C439" t="s">
        <v>21</v>
      </c>
      <c r="D439" t="s">
        <v>22</v>
      </c>
      <c r="E439" t="s">
        <v>12</v>
      </c>
      <c r="F439">
        <v>75</v>
      </c>
      <c r="G439">
        <v>66</v>
      </c>
      <c r="H439">
        <v>73</v>
      </c>
    </row>
    <row r="440" spans="1:8" x14ac:dyDescent="0.25">
      <c r="A440" t="s">
        <v>19</v>
      </c>
      <c r="B440" t="s">
        <v>14</v>
      </c>
      <c r="C440" t="s">
        <v>30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25">
      <c r="A441" t="s">
        <v>19</v>
      </c>
      <c r="B441" t="s">
        <v>29</v>
      </c>
      <c r="C441" t="s">
        <v>38</v>
      </c>
      <c r="D441" t="s">
        <v>11</v>
      </c>
      <c r="E441" t="s">
        <v>16</v>
      </c>
      <c r="F441">
        <v>89</v>
      </c>
      <c r="G441">
        <v>88</v>
      </c>
      <c r="H441">
        <v>82</v>
      </c>
    </row>
    <row r="442" spans="1:8" x14ac:dyDescent="0.25">
      <c r="A442" t="s">
        <v>8</v>
      </c>
      <c r="B442" t="s">
        <v>14</v>
      </c>
      <c r="C442" t="s">
        <v>15</v>
      </c>
      <c r="D442" t="s">
        <v>11</v>
      </c>
      <c r="E442" t="s">
        <v>16</v>
      </c>
      <c r="F442">
        <v>67</v>
      </c>
      <c r="G442">
        <v>81</v>
      </c>
      <c r="H442">
        <v>79</v>
      </c>
    </row>
    <row r="443" spans="1:8" x14ac:dyDescent="0.25">
      <c r="A443" t="s">
        <v>8</v>
      </c>
      <c r="B443" t="s">
        <v>29</v>
      </c>
      <c r="C443" t="s">
        <v>30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25">
      <c r="A444" t="s">
        <v>8</v>
      </c>
      <c r="B444" t="s">
        <v>20</v>
      </c>
      <c r="C444" t="s">
        <v>38</v>
      </c>
      <c r="D444" t="s">
        <v>22</v>
      </c>
      <c r="E444" t="s">
        <v>12</v>
      </c>
      <c r="F444">
        <v>59</v>
      </c>
      <c r="G444">
        <v>73</v>
      </c>
      <c r="H444">
        <v>69</v>
      </c>
    </row>
    <row r="445" spans="1:8" x14ac:dyDescent="0.25">
      <c r="A445" t="s">
        <v>8</v>
      </c>
      <c r="B445" t="s">
        <v>9</v>
      </c>
      <c r="C445" t="s">
        <v>21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25">
      <c r="A446" t="s">
        <v>19</v>
      </c>
      <c r="B446" t="s">
        <v>20</v>
      </c>
      <c r="C446" t="s">
        <v>38</v>
      </c>
      <c r="D446" t="s">
        <v>22</v>
      </c>
      <c r="E446" t="s">
        <v>12</v>
      </c>
      <c r="F446">
        <v>79</v>
      </c>
      <c r="G446">
        <v>82</v>
      </c>
      <c r="H446">
        <v>73</v>
      </c>
    </row>
    <row r="447" spans="1:8" x14ac:dyDescent="0.25">
      <c r="A447" t="s">
        <v>8</v>
      </c>
      <c r="B447" t="s">
        <v>14</v>
      </c>
      <c r="C447" t="s">
        <v>38</v>
      </c>
      <c r="D447" t="s">
        <v>11</v>
      </c>
      <c r="E447" t="s">
        <v>16</v>
      </c>
      <c r="F447">
        <v>67</v>
      </c>
      <c r="G447">
        <v>74</v>
      </c>
      <c r="H447">
        <v>77</v>
      </c>
    </row>
    <row r="448" spans="1:8" x14ac:dyDescent="0.25">
      <c r="A448" t="s">
        <v>19</v>
      </c>
      <c r="B448" t="s">
        <v>29</v>
      </c>
      <c r="C448" t="s">
        <v>15</v>
      </c>
      <c r="D448" t="s">
        <v>22</v>
      </c>
      <c r="E448" t="s">
        <v>12</v>
      </c>
      <c r="F448">
        <v>69</v>
      </c>
      <c r="G448">
        <v>66</v>
      </c>
      <c r="H448">
        <v>60</v>
      </c>
    </row>
    <row r="449" spans="1:8" x14ac:dyDescent="0.25">
      <c r="A449" t="s">
        <v>19</v>
      </c>
      <c r="B449" t="s">
        <v>14</v>
      </c>
      <c r="C449" t="s">
        <v>30</v>
      </c>
      <c r="D449" t="s">
        <v>11</v>
      </c>
      <c r="E449" t="s">
        <v>16</v>
      </c>
      <c r="F449">
        <v>86</v>
      </c>
      <c r="G449">
        <v>81</v>
      </c>
      <c r="H449">
        <v>80</v>
      </c>
    </row>
    <row r="450" spans="1:8" x14ac:dyDescent="0.25">
      <c r="A450" t="s">
        <v>19</v>
      </c>
      <c r="B450" t="s">
        <v>9</v>
      </c>
      <c r="C450" t="s">
        <v>30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25">
      <c r="A451" t="s">
        <v>19</v>
      </c>
      <c r="B451" t="s">
        <v>9</v>
      </c>
      <c r="C451" t="s">
        <v>21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25">
      <c r="A452" t="s">
        <v>8</v>
      </c>
      <c r="B452" t="s">
        <v>14</v>
      </c>
      <c r="C452" t="s">
        <v>15</v>
      </c>
      <c r="D452" t="s">
        <v>22</v>
      </c>
      <c r="E452" t="s">
        <v>16</v>
      </c>
      <c r="F452">
        <v>64</v>
      </c>
      <c r="G452">
        <v>85</v>
      </c>
      <c r="H452">
        <v>85</v>
      </c>
    </row>
    <row r="453" spans="1:8" x14ac:dyDescent="0.25">
      <c r="A453" t="s">
        <v>8</v>
      </c>
      <c r="B453" t="s">
        <v>39</v>
      </c>
      <c r="C453" t="s">
        <v>15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25">
      <c r="A454" t="s">
        <v>8</v>
      </c>
      <c r="B454" t="s">
        <v>14</v>
      </c>
      <c r="C454" t="s">
        <v>21</v>
      </c>
      <c r="D454" t="s">
        <v>22</v>
      </c>
      <c r="E454" t="s">
        <v>12</v>
      </c>
      <c r="F454">
        <v>65</v>
      </c>
      <c r="G454">
        <v>77</v>
      </c>
      <c r="H454">
        <v>74</v>
      </c>
    </row>
    <row r="455" spans="1:8" x14ac:dyDescent="0.25">
      <c r="A455" t="s">
        <v>19</v>
      </c>
      <c r="B455" t="s">
        <v>14</v>
      </c>
      <c r="C455" t="s">
        <v>15</v>
      </c>
      <c r="D455" t="s">
        <v>22</v>
      </c>
      <c r="E455" t="s">
        <v>12</v>
      </c>
      <c r="F455">
        <v>65</v>
      </c>
      <c r="G455">
        <v>58</v>
      </c>
      <c r="H455">
        <v>49</v>
      </c>
    </row>
    <row r="456" spans="1:8" x14ac:dyDescent="0.25">
      <c r="A456" t="s">
        <v>8</v>
      </c>
      <c r="B456" t="s">
        <v>14</v>
      </c>
      <c r="C456" t="s">
        <v>21</v>
      </c>
      <c r="D456" t="s">
        <v>22</v>
      </c>
      <c r="E456" t="s">
        <v>12</v>
      </c>
      <c r="F456">
        <v>53</v>
      </c>
      <c r="G456">
        <v>61</v>
      </c>
      <c r="H456">
        <v>62</v>
      </c>
    </row>
    <row r="457" spans="1:8" x14ac:dyDescent="0.25">
      <c r="A457" t="s">
        <v>19</v>
      </c>
      <c r="B457" t="s">
        <v>14</v>
      </c>
      <c r="C457" t="s">
        <v>10</v>
      </c>
      <c r="D457" t="s">
        <v>22</v>
      </c>
      <c r="E457" t="s">
        <v>12</v>
      </c>
      <c r="F457">
        <v>37</v>
      </c>
      <c r="G457">
        <v>56</v>
      </c>
      <c r="H457">
        <v>47</v>
      </c>
    </row>
    <row r="458" spans="1:8" x14ac:dyDescent="0.25">
      <c r="A458" t="s">
        <v>8</v>
      </c>
      <c r="B458" t="s">
        <v>29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25">
      <c r="A459" t="s">
        <v>19</v>
      </c>
      <c r="B459" t="s">
        <v>29</v>
      </c>
      <c r="C459" t="s">
        <v>21</v>
      </c>
      <c r="D459" t="s">
        <v>22</v>
      </c>
      <c r="E459" t="s">
        <v>12</v>
      </c>
      <c r="F459">
        <v>53</v>
      </c>
      <c r="G459">
        <v>54</v>
      </c>
      <c r="H459">
        <v>48</v>
      </c>
    </row>
    <row r="460" spans="1:8" x14ac:dyDescent="0.25">
      <c r="A460" t="s">
        <v>8</v>
      </c>
      <c r="B460" t="s">
        <v>39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25">
      <c r="A461" t="s">
        <v>19</v>
      </c>
      <c r="B461" t="s">
        <v>9</v>
      </c>
      <c r="C461" t="s">
        <v>30</v>
      </c>
      <c r="D461" t="s">
        <v>11</v>
      </c>
      <c r="E461" t="s">
        <v>16</v>
      </c>
      <c r="F461">
        <v>72</v>
      </c>
      <c r="G461">
        <v>65</v>
      </c>
      <c r="H461">
        <v>68</v>
      </c>
    </row>
    <row r="462" spans="1:8" x14ac:dyDescent="0.25">
      <c r="A462" t="s">
        <v>19</v>
      </c>
      <c r="B462" t="s">
        <v>14</v>
      </c>
      <c r="C462" t="s">
        <v>10</v>
      </c>
      <c r="D462" t="s">
        <v>22</v>
      </c>
      <c r="E462" t="s">
        <v>12</v>
      </c>
      <c r="F462">
        <v>53</v>
      </c>
      <c r="G462">
        <v>58</v>
      </c>
      <c r="H462">
        <v>55</v>
      </c>
    </row>
    <row r="463" spans="1:8" x14ac:dyDescent="0.25">
      <c r="A463" t="s">
        <v>19</v>
      </c>
      <c r="B463" t="s">
        <v>9</v>
      </c>
      <c r="C463" t="s">
        <v>15</v>
      </c>
      <c r="D463" t="s">
        <v>22</v>
      </c>
      <c r="E463" t="s">
        <v>12</v>
      </c>
      <c r="F463">
        <v>54</v>
      </c>
      <c r="G463">
        <v>54</v>
      </c>
      <c r="H463">
        <v>45</v>
      </c>
    </row>
    <row r="464" spans="1:8" x14ac:dyDescent="0.25">
      <c r="A464" t="s">
        <v>8</v>
      </c>
      <c r="B464" t="s">
        <v>39</v>
      </c>
      <c r="C464" t="s">
        <v>15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25">
      <c r="A465" t="s">
        <v>8</v>
      </c>
      <c r="B465" t="s">
        <v>14</v>
      </c>
      <c r="C465" t="s">
        <v>15</v>
      </c>
      <c r="D465" t="s">
        <v>22</v>
      </c>
      <c r="E465" t="s">
        <v>12</v>
      </c>
      <c r="F465">
        <v>77</v>
      </c>
      <c r="G465">
        <v>90</v>
      </c>
      <c r="H465">
        <v>91</v>
      </c>
    </row>
    <row r="466" spans="1:8" x14ac:dyDescent="0.25">
      <c r="A466" t="s">
        <v>19</v>
      </c>
      <c r="B466" t="s">
        <v>20</v>
      </c>
      <c r="C466" t="s">
        <v>10</v>
      </c>
      <c r="D466" t="s">
        <v>11</v>
      </c>
      <c r="E466" t="s">
        <v>16</v>
      </c>
      <c r="F466">
        <v>75</v>
      </c>
      <c r="G466">
        <v>58</v>
      </c>
      <c r="H466">
        <v>62</v>
      </c>
    </row>
    <row r="467" spans="1:8" x14ac:dyDescent="0.25">
      <c r="A467" t="s">
        <v>8</v>
      </c>
      <c r="B467" t="s">
        <v>14</v>
      </c>
      <c r="C467" t="s">
        <v>15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25">
      <c r="A468" t="s">
        <v>8</v>
      </c>
      <c r="B468" t="s">
        <v>29</v>
      </c>
      <c r="C468" t="s">
        <v>21</v>
      </c>
      <c r="D468" t="s">
        <v>22</v>
      </c>
      <c r="E468" t="s">
        <v>12</v>
      </c>
      <c r="F468">
        <v>26</v>
      </c>
      <c r="G468">
        <v>31</v>
      </c>
      <c r="H468">
        <v>38</v>
      </c>
    </row>
    <row r="469" spans="1:8" x14ac:dyDescent="0.25">
      <c r="A469" t="s">
        <v>19</v>
      </c>
      <c r="B469" t="s">
        <v>20</v>
      </c>
      <c r="C469" t="s">
        <v>30</v>
      </c>
      <c r="D469" t="s">
        <v>22</v>
      </c>
      <c r="E469" t="s">
        <v>16</v>
      </c>
      <c r="F469">
        <v>72</v>
      </c>
      <c r="G469">
        <v>67</v>
      </c>
      <c r="H469">
        <v>65</v>
      </c>
    </row>
    <row r="470" spans="1:8" x14ac:dyDescent="0.25">
      <c r="A470" t="s">
        <v>8</v>
      </c>
      <c r="B470" t="s">
        <v>20</v>
      </c>
      <c r="C470" t="s">
        <v>30</v>
      </c>
      <c r="D470" t="s">
        <v>22</v>
      </c>
      <c r="E470" t="s">
        <v>16</v>
      </c>
      <c r="F470">
        <v>77</v>
      </c>
      <c r="G470">
        <v>88</v>
      </c>
      <c r="H470">
        <v>85</v>
      </c>
    </row>
    <row r="471" spans="1:8" x14ac:dyDescent="0.25">
      <c r="A471" t="s">
        <v>19</v>
      </c>
      <c r="B471" t="s">
        <v>14</v>
      </c>
      <c r="C471" t="s">
        <v>15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25">
      <c r="A472" t="s">
        <v>8</v>
      </c>
      <c r="B472" t="s">
        <v>14</v>
      </c>
      <c r="C472" t="s">
        <v>21</v>
      </c>
      <c r="D472" t="s">
        <v>11</v>
      </c>
      <c r="E472" t="s">
        <v>16</v>
      </c>
      <c r="F472">
        <v>83</v>
      </c>
      <c r="G472">
        <v>85</v>
      </c>
      <c r="H472">
        <v>90</v>
      </c>
    </row>
    <row r="473" spans="1:8" x14ac:dyDescent="0.25">
      <c r="A473" t="s">
        <v>8</v>
      </c>
      <c r="B473" t="s">
        <v>14</v>
      </c>
      <c r="C473" t="s">
        <v>30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25">
      <c r="A474" t="s">
        <v>8</v>
      </c>
      <c r="B474" t="s">
        <v>14</v>
      </c>
      <c r="C474" t="s">
        <v>21</v>
      </c>
      <c r="D474" t="s">
        <v>11</v>
      </c>
      <c r="E474" t="s">
        <v>16</v>
      </c>
      <c r="F474">
        <v>68</v>
      </c>
      <c r="G474">
        <v>86</v>
      </c>
      <c r="H474">
        <v>84</v>
      </c>
    </row>
    <row r="475" spans="1:8" x14ac:dyDescent="0.25">
      <c r="A475" t="s">
        <v>8</v>
      </c>
      <c r="B475" t="s">
        <v>29</v>
      </c>
      <c r="C475" t="s">
        <v>38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25">
      <c r="A476" t="s">
        <v>8</v>
      </c>
      <c r="B476" t="s">
        <v>9</v>
      </c>
      <c r="C476" t="s">
        <v>21</v>
      </c>
      <c r="D476" t="s">
        <v>11</v>
      </c>
      <c r="E476" t="s">
        <v>16</v>
      </c>
      <c r="F476">
        <v>90</v>
      </c>
      <c r="G476">
        <v>90</v>
      </c>
      <c r="H476">
        <v>91</v>
      </c>
    </row>
    <row r="477" spans="1:8" x14ac:dyDescent="0.25">
      <c r="A477" t="s">
        <v>8</v>
      </c>
      <c r="B477" t="s">
        <v>29</v>
      </c>
      <c r="C477" t="s">
        <v>10</v>
      </c>
      <c r="D477" t="s">
        <v>11</v>
      </c>
      <c r="E477" t="s">
        <v>16</v>
      </c>
      <c r="F477">
        <v>71</v>
      </c>
      <c r="G477">
        <v>76</v>
      </c>
      <c r="H477">
        <v>83</v>
      </c>
    </row>
    <row r="478" spans="1:8" x14ac:dyDescent="0.25">
      <c r="A478" t="s">
        <v>19</v>
      </c>
      <c r="B478" t="s">
        <v>39</v>
      </c>
      <c r="C478" t="s">
        <v>10</v>
      </c>
      <c r="D478" t="s">
        <v>11</v>
      </c>
      <c r="E478" t="s">
        <v>16</v>
      </c>
      <c r="F478">
        <v>76</v>
      </c>
      <c r="G478">
        <v>62</v>
      </c>
      <c r="H478">
        <v>66</v>
      </c>
    </row>
    <row r="479" spans="1:8" x14ac:dyDescent="0.25">
      <c r="A479" t="s">
        <v>19</v>
      </c>
      <c r="B479" t="s">
        <v>29</v>
      </c>
      <c r="C479" t="s">
        <v>21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25">
      <c r="A480" t="s">
        <v>8</v>
      </c>
      <c r="B480" t="s">
        <v>29</v>
      </c>
      <c r="C480" t="s">
        <v>18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25">
      <c r="A481" t="s">
        <v>19</v>
      </c>
      <c r="B481" t="s">
        <v>39</v>
      </c>
      <c r="C481" t="s">
        <v>21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25">
      <c r="A482" t="s">
        <v>19</v>
      </c>
      <c r="B482" t="s">
        <v>9</v>
      </c>
      <c r="C482" t="s">
        <v>30</v>
      </c>
      <c r="D482" t="s">
        <v>11</v>
      </c>
      <c r="E482" t="s">
        <v>16</v>
      </c>
      <c r="F482">
        <v>73</v>
      </c>
      <c r="G482">
        <v>71</v>
      </c>
      <c r="H482">
        <v>68</v>
      </c>
    </row>
    <row r="483" spans="1:8" x14ac:dyDescent="0.25">
      <c r="A483" t="s">
        <v>8</v>
      </c>
      <c r="B483" t="s">
        <v>29</v>
      </c>
      <c r="C483" t="s">
        <v>21</v>
      </c>
      <c r="D483" t="s">
        <v>22</v>
      </c>
      <c r="E483" t="s">
        <v>12</v>
      </c>
      <c r="F483">
        <v>52</v>
      </c>
      <c r="G483">
        <v>59</v>
      </c>
      <c r="H483">
        <v>56</v>
      </c>
    </row>
    <row r="484" spans="1:8" x14ac:dyDescent="0.25">
      <c r="A484" t="s">
        <v>19</v>
      </c>
      <c r="B484" t="s">
        <v>14</v>
      </c>
      <c r="C484" t="s">
        <v>15</v>
      </c>
      <c r="D484" t="s">
        <v>22</v>
      </c>
      <c r="E484" t="s">
        <v>12</v>
      </c>
      <c r="F484">
        <v>68</v>
      </c>
      <c r="G484">
        <v>68</v>
      </c>
      <c r="H484">
        <v>61</v>
      </c>
    </row>
    <row r="485" spans="1:8" x14ac:dyDescent="0.25">
      <c r="A485" t="s">
        <v>19</v>
      </c>
      <c r="B485" t="s">
        <v>20</v>
      </c>
      <c r="C485" t="s">
        <v>30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25">
      <c r="A486" t="s">
        <v>8</v>
      </c>
      <c r="B486" t="s">
        <v>9</v>
      </c>
      <c r="C486" t="s">
        <v>21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25">
      <c r="A487" t="s">
        <v>19</v>
      </c>
      <c r="B487" t="s">
        <v>14</v>
      </c>
      <c r="C487" t="s">
        <v>30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25">
      <c r="A488" t="s">
        <v>19</v>
      </c>
      <c r="B488" t="s">
        <v>29</v>
      </c>
      <c r="C488" t="s">
        <v>15</v>
      </c>
      <c r="D488" t="s">
        <v>22</v>
      </c>
      <c r="E488" t="s">
        <v>12</v>
      </c>
      <c r="F488">
        <v>61</v>
      </c>
      <c r="G488">
        <v>47</v>
      </c>
      <c r="H488">
        <v>56</v>
      </c>
    </row>
    <row r="489" spans="1:8" x14ac:dyDescent="0.25">
      <c r="A489" t="s">
        <v>8</v>
      </c>
      <c r="B489" t="s">
        <v>14</v>
      </c>
      <c r="C489" t="s">
        <v>21</v>
      </c>
      <c r="D489" t="s">
        <v>22</v>
      </c>
      <c r="E489" t="s">
        <v>12</v>
      </c>
      <c r="F489">
        <v>60</v>
      </c>
      <c r="G489">
        <v>75</v>
      </c>
      <c r="H489">
        <v>74</v>
      </c>
    </row>
    <row r="490" spans="1:8" x14ac:dyDescent="0.25">
      <c r="A490" t="s">
        <v>19</v>
      </c>
      <c r="B490" t="s">
        <v>9</v>
      </c>
      <c r="C490" t="s">
        <v>38</v>
      </c>
      <c r="D490" t="s">
        <v>11</v>
      </c>
      <c r="E490" t="s">
        <v>16</v>
      </c>
      <c r="F490">
        <v>64</v>
      </c>
      <c r="G490">
        <v>53</v>
      </c>
      <c r="H490">
        <v>57</v>
      </c>
    </row>
    <row r="491" spans="1:8" x14ac:dyDescent="0.25">
      <c r="A491" t="s">
        <v>19</v>
      </c>
      <c r="B491" t="s">
        <v>20</v>
      </c>
      <c r="C491" t="s">
        <v>21</v>
      </c>
      <c r="D491" t="s">
        <v>22</v>
      </c>
      <c r="E491" t="s">
        <v>16</v>
      </c>
      <c r="F491">
        <v>79</v>
      </c>
      <c r="G491">
        <v>82</v>
      </c>
      <c r="H491">
        <v>82</v>
      </c>
    </row>
    <row r="492" spans="1:8" x14ac:dyDescent="0.25">
      <c r="A492" t="s">
        <v>8</v>
      </c>
      <c r="B492" t="s">
        <v>20</v>
      </c>
      <c r="C492" t="s">
        <v>21</v>
      </c>
      <c r="D492" t="s">
        <v>22</v>
      </c>
      <c r="E492" t="s">
        <v>12</v>
      </c>
      <c r="F492">
        <v>65</v>
      </c>
      <c r="G492">
        <v>85</v>
      </c>
      <c r="H492">
        <v>76</v>
      </c>
    </row>
    <row r="493" spans="1:8" x14ac:dyDescent="0.25">
      <c r="A493" t="s">
        <v>8</v>
      </c>
      <c r="B493" t="s">
        <v>14</v>
      </c>
      <c r="C493" t="s">
        <v>21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25">
      <c r="A494" t="s">
        <v>8</v>
      </c>
      <c r="B494" t="s">
        <v>14</v>
      </c>
      <c r="C494" t="s">
        <v>15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25">
      <c r="A495" t="s">
        <v>8</v>
      </c>
      <c r="B495" t="s">
        <v>14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25">
      <c r="A496" t="s">
        <v>8</v>
      </c>
      <c r="B496" t="s">
        <v>9</v>
      </c>
      <c r="C496" t="s">
        <v>30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25">
      <c r="A497" t="s">
        <v>19</v>
      </c>
      <c r="B497" t="s">
        <v>29</v>
      </c>
      <c r="C497" t="s">
        <v>30</v>
      </c>
      <c r="D497" t="s">
        <v>11</v>
      </c>
      <c r="E497" t="s">
        <v>16</v>
      </c>
      <c r="F497">
        <v>68</v>
      </c>
      <c r="G497">
        <v>64</v>
      </c>
      <c r="H497">
        <v>66</v>
      </c>
    </row>
    <row r="498" spans="1:8" x14ac:dyDescent="0.25">
      <c r="A498" t="s">
        <v>8</v>
      </c>
      <c r="B498" t="s">
        <v>14</v>
      </c>
      <c r="C498" t="s">
        <v>15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25">
      <c r="A499" t="s">
        <v>8</v>
      </c>
      <c r="B499" t="s">
        <v>29</v>
      </c>
      <c r="C499" t="s">
        <v>15</v>
      </c>
      <c r="D499" t="s">
        <v>22</v>
      </c>
      <c r="E499" t="s">
        <v>16</v>
      </c>
      <c r="F499">
        <v>59</v>
      </c>
      <c r="G499">
        <v>78</v>
      </c>
      <c r="H499">
        <v>76</v>
      </c>
    </row>
    <row r="500" spans="1:8" x14ac:dyDescent="0.25">
      <c r="A500" t="s">
        <v>8</v>
      </c>
      <c r="B500" t="s">
        <v>9</v>
      </c>
      <c r="C500" t="s">
        <v>38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25">
      <c r="A501" t="s">
        <v>19</v>
      </c>
      <c r="B501" t="s">
        <v>39</v>
      </c>
      <c r="C501" t="s">
        <v>15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25">
      <c r="A502" t="s">
        <v>8</v>
      </c>
      <c r="B502" t="s">
        <v>29</v>
      </c>
      <c r="C502" t="s">
        <v>18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25">
      <c r="A503" t="s">
        <v>8</v>
      </c>
      <c r="B503" t="s">
        <v>9</v>
      </c>
      <c r="C503" t="s">
        <v>21</v>
      </c>
      <c r="D503" t="s">
        <v>11</v>
      </c>
      <c r="E503" t="s">
        <v>16</v>
      </c>
      <c r="F503">
        <v>94</v>
      </c>
      <c r="G503">
        <v>87</v>
      </c>
      <c r="H503">
        <v>92</v>
      </c>
    </row>
    <row r="504" spans="1:8" x14ac:dyDescent="0.25">
      <c r="A504" t="s">
        <v>19</v>
      </c>
      <c r="B504" t="s">
        <v>14</v>
      </c>
      <c r="C504" t="s">
        <v>15</v>
      </c>
      <c r="D504" t="s">
        <v>22</v>
      </c>
      <c r="E504" t="s">
        <v>12</v>
      </c>
      <c r="F504">
        <v>63</v>
      </c>
      <c r="G504">
        <v>61</v>
      </c>
      <c r="H504">
        <v>54</v>
      </c>
    </row>
    <row r="505" spans="1:8" x14ac:dyDescent="0.25">
      <c r="A505" t="s">
        <v>8</v>
      </c>
      <c r="B505" t="s">
        <v>39</v>
      </c>
      <c r="C505" t="s">
        <v>21</v>
      </c>
      <c r="D505" t="s">
        <v>11</v>
      </c>
      <c r="E505" t="s">
        <v>16</v>
      </c>
      <c r="F505">
        <v>95</v>
      </c>
      <c r="G505">
        <v>89</v>
      </c>
      <c r="H505">
        <v>92</v>
      </c>
    </row>
    <row r="506" spans="1:8" x14ac:dyDescent="0.25">
      <c r="A506" t="s">
        <v>8</v>
      </c>
      <c r="B506" t="s">
        <v>29</v>
      </c>
      <c r="C506" t="s">
        <v>18</v>
      </c>
      <c r="D506" t="s">
        <v>22</v>
      </c>
      <c r="E506" t="s">
        <v>12</v>
      </c>
      <c r="F506">
        <v>40</v>
      </c>
      <c r="G506">
        <v>59</v>
      </c>
      <c r="H506">
        <v>54</v>
      </c>
    </row>
    <row r="507" spans="1:8" x14ac:dyDescent="0.25">
      <c r="A507" t="s">
        <v>8</v>
      </c>
      <c r="B507" t="s">
        <v>9</v>
      </c>
      <c r="C507" t="s">
        <v>38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25">
      <c r="A508" t="s">
        <v>19</v>
      </c>
      <c r="B508" t="s">
        <v>20</v>
      </c>
      <c r="C508" t="s">
        <v>30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25">
      <c r="A509" t="s">
        <v>19</v>
      </c>
      <c r="B509" t="s">
        <v>9</v>
      </c>
      <c r="C509" t="s">
        <v>10</v>
      </c>
      <c r="D509" t="s">
        <v>22</v>
      </c>
      <c r="E509" t="s">
        <v>12</v>
      </c>
      <c r="F509">
        <v>55</v>
      </c>
      <c r="G509">
        <v>59</v>
      </c>
      <c r="H509">
        <v>54</v>
      </c>
    </row>
    <row r="510" spans="1:8" x14ac:dyDescent="0.25">
      <c r="A510" t="s">
        <v>19</v>
      </c>
      <c r="B510" t="s">
        <v>14</v>
      </c>
      <c r="C510" t="s">
        <v>18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25">
      <c r="A511" t="s">
        <v>8</v>
      </c>
      <c r="B511" t="s">
        <v>14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25">
      <c r="A512" t="s">
        <v>19</v>
      </c>
      <c r="B512" t="s">
        <v>29</v>
      </c>
      <c r="C512" t="s">
        <v>15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25">
      <c r="A513" t="s">
        <v>19</v>
      </c>
      <c r="B513" t="s">
        <v>20</v>
      </c>
      <c r="C513" t="s">
        <v>38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25">
      <c r="A514" t="s">
        <v>19</v>
      </c>
      <c r="B514" t="s">
        <v>29</v>
      </c>
      <c r="C514" t="s">
        <v>38</v>
      </c>
      <c r="D514" t="s">
        <v>22</v>
      </c>
      <c r="E514" t="s">
        <v>12</v>
      </c>
      <c r="F514">
        <v>62</v>
      </c>
      <c r="G514">
        <v>49</v>
      </c>
      <c r="H514">
        <v>52</v>
      </c>
    </row>
    <row r="515" spans="1:8" x14ac:dyDescent="0.25">
      <c r="A515" t="s">
        <v>8</v>
      </c>
      <c r="B515" t="s">
        <v>9</v>
      </c>
      <c r="C515" t="s">
        <v>38</v>
      </c>
      <c r="D515" t="s">
        <v>11</v>
      </c>
      <c r="E515" t="s">
        <v>16</v>
      </c>
      <c r="F515">
        <v>54</v>
      </c>
      <c r="G515">
        <v>61</v>
      </c>
      <c r="H515">
        <v>62</v>
      </c>
    </row>
    <row r="516" spans="1:8" x14ac:dyDescent="0.25">
      <c r="A516" t="s">
        <v>8</v>
      </c>
      <c r="B516" t="s">
        <v>9</v>
      </c>
      <c r="C516" t="s">
        <v>18</v>
      </c>
      <c r="D516" t="s">
        <v>22</v>
      </c>
      <c r="E516" t="s">
        <v>16</v>
      </c>
      <c r="F516">
        <v>77</v>
      </c>
      <c r="G516">
        <v>97</v>
      </c>
      <c r="H516">
        <v>94</v>
      </c>
    </row>
    <row r="517" spans="1:8" x14ac:dyDescent="0.25">
      <c r="A517" t="s">
        <v>8</v>
      </c>
      <c r="B517" t="s">
        <v>14</v>
      </c>
      <c r="C517" t="s">
        <v>38</v>
      </c>
      <c r="D517" t="s">
        <v>11</v>
      </c>
      <c r="E517" t="s">
        <v>16</v>
      </c>
      <c r="F517">
        <v>76</v>
      </c>
      <c r="G517">
        <v>87</v>
      </c>
      <c r="H517">
        <v>85</v>
      </c>
    </row>
    <row r="518" spans="1:8" x14ac:dyDescent="0.25">
      <c r="A518" t="s">
        <v>8</v>
      </c>
      <c r="B518" t="s">
        <v>29</v>
      </c>
      <c r="C518" t="s">
        <v>15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25">
      <c r="A519" t="s">
        <v>8</v>
      </c>
      <c r="B519" t="s">
        <v>39</v>
      </c>
      <c r="C519" t="s">
        <v>15</v>
      </c>
      <c r="D519" t="s">
        <v>11</v>
      </c>
      <c r="E519" t="s">
        <v>16</v>
      </c>
      <c r="F519">
        <v>66</v>
      </c>
      <c r="G519">
        <v>74</v>
      </c>
      <c r="H519">
        <v>73</v>
      </c>
    </row>
    <row r="520" spans="1:8" x14ac:dyDescent="0.25">
      <c r="A520" t="s">
        <v>8</v>
      </c>
      <c r="B520" t="s">
        <v>29</v>
      </c>
      <c r="C520" t="s">
        <v>38</v>
      </c>
      <c r="D520" t="s">
        <v>11</v>
      </c>
      <c r="E520" t="s">
        <v>16</v>
      </c>
      <c r="F520">
        <v>66</v>
      </c>
      <c r="G520">
        <v>78</v>
      </c>
      <c r="H520">
        <v>78</v>
      </c>
    </row>
    <row r="521" spans="1:8" x14ac:dyDescent="0.25">
      <c r="A521" t="s">
        <v>8</v>
      </c>
      <c r="B521" t="s">
        <v>9</v>
      </c>
      <c r="C521" t="s">
        <v>30</v>
      </c>
      <c r="D521" t="s">
        <v>22</v>
      </c>
      <c r="E521" t="s">
        <v>16</v>
      </c>
      <c r="F521">
        <v>67</v>
      </c>
      <c r="G521">
        <v>78</v>
      </c>
      <c r="H521">
        <v>79</v>
      </c>
    </row>
    <row r="522" spans="1:8" x14ac:dyDescent="0.25">
      <c r="A522" t="s">
        <v>19</v>
      </c>
      <c r="B522" t="s">
        <v>29</v>
      </c>
      <c r="C522" t="s">
        <v>15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25">
      <c r="A523" t="s">
        <v>8</v>
      </c>
      <c r="B523" t="s">
        <v>14</v>
      </c>
      <c r="C523" t="s">
        <v>21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25">
      <c r="A524" t="s">
        <v>19</v>
      </c>
      <c r="B524" t="s">
        <v>29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25">
      <c r="A525" t="s">
        <v>19</v>
      </c>
      <c r="B525" t="s">
        <v>14</v>
      </c>
      <c r="C525" t="s">
        <v>18</v>
      </c>
      <c r="D525" t="s">
        <v>22</v>
      </c>
      <c r="E525" t="s">
        <v>12</v>
      </c>
      <c r="F525">
        <v>54</v>
      </c>
      <c r="G525">
        <v>59</v>
      </c>
      <c r="H525">
        <v>50</v>
      </c>
    </row>
    <row r="526" spans="1:8" x14ac:dyDescent="0.25">
      <c r="A526" t="s">
        <v>19</v>
      </c>
      <c r="B526" t="s">
        <v>14</v>
      </c>
      <c r="C526" t="s">
        <v>30</v>
      </c>
      <c r="D526" t="s">
        <v>11</v>
      </c>
      <c r="E526" t="s">
        <v>16</v>
      </c>
      <c r="F526">
        <v>53</v>
      </c>
      <c r="G526">
        <v>52</v>
      </c>
      <c r="H526">
        <v>49</v>
      </c>
    </row>
    <row r="527" spans="1:8" x14ac:dyDescent="0.25">
      <c r="A527" t="s">
        <v>19</v>
      </c>
      <c r="B527" t="s">
        <v>39</v>
      </c>
      <c r="C527" t="s">
        <v>15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25">
      <c r="A528" t="s">
        <v>19</v>
      </c>
      <c r="B528" t="s">
        <v>14</v>
      </c>
      <c r="C528" t="s">
        <v>38</v>
      </c>
      <c r="D528" t="s">
        <v>22</v>
      </c>
      <c r="E528" t="s">
        <v>16</v>
      </c>
      <c r="F528">
        <v>56</v>
      </c>
      <c r="G528">
        <v>61</v>
      </c>
      <c r="H528">
        <v>60</v>
      </c>
    </row>
    <row r="529" spans="1:8" x14ac:dyDescent="0.25">
      <c r="A529" t="s">
        <v>8</v>
      </c>
      <c r="B529" t="s">
        <v>14</v>
      </c>
      <c r="C529" t="s">
        <v>30</v>
      </c>
      <c r="D529" t="s">
        <v>22</v>
      </c>
      <c r="E529" t="s">
        <v>12</v>
      </c>
      <c r="F529">
        <v>36</v>
      </c>
      <c r="G529">
        <v>53</v>
      </c>
      <c r="H529">
        <v>43</v>
      </c>
    </row>
    <row r="530" spans="1:8" x14ac:dyDescent="0.25">
      <c r="A530" t="s">
        <v>8</v>
      </c>
      <c r="B530" t="s">
        <v>29</v>
      </c>
      <c r="C530" t="s">
        <v>10</v>
      </c>
      <c r="D530" t="s">
        <v>22</v>
      </c>
      <c r="E530" t="s">
        <v>12</v>
      </c>
      <c r="F530">
        <v>29</v>
      </c>
      <c r="G530">
        <v>41</v>
      </c>
      <c r="H530">
        <v>47</v>
      </c>
    </row>
    <row r="531" spans="1:8" x14ac:dyDescent="0.25">
      <c r="A531" t="s">
        <v>8</v>
      </c>
      <c r="B531" t="s">
        <v>14</v>
      </c>
      <c r="C531" t="s">
        <v>21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25">
      <c r="A532" t="s">
        <v>8</v>
      </c>
      <c r="B532" t="s">
        <v>14</v>
      </c>
      <c r="C532" t="s">
        <v>21</v>
      </c>
      <c r="D532" t="s">
        <v>11</v>
      </c>
      <c r="E532" t="s">
        <v>16</v>
      </c>
      <c r="F532">
        <v>68</v>
      </c>
      <c r="G532">
        <v>67</v>
      </c>
      <c r="H532">
        <v>73</v>
      </c>
    </row>
    <row r="533" spans="1:8" x14ac:dyDescent="0.25">
      <c r="A533" t="s">
        <v>8</v>
      </c>
      <c r="B533" t="s">
        <v>14</v>
      </c>
      <c r="C533" t="s">
        <v>38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25">
      <c r="A534" t="s">
        <v>19</v>
      </c>
      <c r="B534" t="s">
        <v>39</v>
      </c>
      <c r="C534" t="s">
        <v>21</v>
      </c>
      <c r="D534" t="s">
        <v>11</v>
      </c>
      <c r="E534" t="s">
        <v>16</v>
      </c>
      <c r="F534">
        <v>62</v>
      </c>
      <c r="G534">
        <v>61</v>
      </c>
      <c r="H534">
        <v>58</v>
      </c>
    </row>
    <row r="535" spans="1:8" x14ac:dyDescent="0.25">
      <c r="A535" t="s">
        <v>8</v>
      </c>
      <c r="B535" t="s">
        <v>39</v>
      </c>
      <c r="C535" t="s">
        <v>21</v>
      </c>
      <c r="D535" t="s">
        <v>11</v>
      </c>
      <c r="E535" t="s">
        <v>16</v>
      </c>
      <c r="F535">
        <v>79</v>
      </c>
      <c r="G535">
        <v>88</v>
      </c>
      <c r="H535">
        <v>94</v>
      </c>
    </row>
    <row r="536" spans="1:8" x14ac:dyDescent="0.25">
      <c r="A536" t="s">
        <v>19</v>
      </c>
      <c r="B536" t="s">
        <v>9</v>
      </c>
      <c r="C536" t="s">
        <v>30</v>
      </c>
      <c r="D536" t="s">
        <v>11</v>
      </c>
      <c r="E536" t="s">
        <v>16</v>
      </c>
      <c r="F536">
        <v>73</v>
      </c>
      <c r="G536">
        <v>69</v>
      </c>
      <c r="H536">
        <v>68</v>
      </c>
    </row>
    <row r="537" spans="1:8" x14ac:dyDescent="0.25">
      <c r="A537" t="s">
        <v>8</v>
      </c>
      <c r="B537" t="s">
        <v>14</v>
      </c>
      <c r="C537" t="s">
        <v>10</v>
      </c>
      <c r="D537" t="s">
        <v>22</v>
      </c>
      <c r="E537" t="s">
        <v>16</v>
      </c>
      <c r="F537">
        <v>66</v>
      </c>
      <c r="G537">
        <v>83</v>
      </c>
      <c r="H537">
        <v>83</v>
      </c>
    </row>
    <row r="538" spans="1:8" x14ac:dyDescent="0.25">
      <c r="A538" t="s">
        <v>19</v>
      </c>
      <c r="B538" t="s">
        <v>14</v>
      </c>
      <c r="C538" t="s">
        <v>21</v>
      </c>
      <c r="D538" t="s">
        <v>11</v>
      </c>
      <c r="E538" t="s">
        <v>16</v>
      </c>
      <c r="F538">
        <v>51</v>
      </c>
      <c r="G538">
        <v>60</v>
      </c>
      <c r="H538">
        <v>58</v>
      </c>
    </row>
    <row r="539" spans="1:8" x14ac:dyDescent="0.25">
      <c r="A539" t="s">
        <v>8</v>
      </c>
      <c r="B539" t="s">
        <v>29</v>
      </c>
      <c r="C539" t="s">
        <v>30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25">
      <c r="A540" t="s">
        <v>19</v>
      </c>
      <c r="B540" t="s">
        <v>39</v>
      </c>
      <c r="C540" t="s">
        <v>10</v>
      </c>
      <c r="D540" t="s">
        <v>11</v>
      </c>
      <c r="E540" t="s">
        <v>16</v>
      </c>
      <c r="F540">
        <v>85</v>
      </c>
      <c r="G540">
        <v>66</v>
      </c>
      <c r="H540">
        <v>71</v>
      </c>
    </row>
    <row r="541" spans="1:8" x14ac:dyDescent="0.25">
      <c r="A541" t="s">
        <v>19</v>
      </c>
      <c r="B541" t="s">
        <v>20</v>
      </c>
      <c r="C541" t="s">
        <v>21</v>
      </c>
      <c r="D541" t="s">
        <v>11</v>
      </c>
      <c r="E541" t="s">
        <v>16</v>
      </c>
      <c r="F541">
        <v>97</v>
      </c>
      <c r="G541">
        <v>92</v>
      </c>
      <c r="H541">
        <v>86</v>
      </c>
    </row>
    <row r="542" spans="1:8" x14ac:dyDescent="0.25">
      <c r="A542" t="s">
        <v>19</v>
      </c>
      <c r="B542" t="s">
        <v>14</v>
      </c>
      <c r="C542" t="s">
        <v>30</v>
      </c>
      <c r="D542" t="s">
        <v>11</v>
      </c>
      <c r="E542" t="s">
        <v>16</v>
      </c>
      <c r="F542">
        <v>75</v>
      </c>
      <c r="G542">
        <v>69</v>
      </c>
      <c r="H542">
        <v>68</v>
      </c>
    </row>
    <row r="543" spans="1:8" x14ac:dyDescent="0.25">
      <c r="A543" t="s">
        <v>19</v>
      </c>
      <c r="B543" t="s">
        <v>29</v>
      </c>
      <c r="C543" t="s">
        <v>21</v>
      </c>
      <c r="D543" t="s">
        <v>22</v>
      </c>
      <c r="E543" t="s">
        <v>16</v>
      </c>
      <c r="F543">
        <v>79</v>
      </c>
      <c r="G543">
        <v>82</v>
      </c>
      <c r="H543">
        <v>80</v>
      </c>
    </row>
    <row r="544" spans="1:8" x14ac:dyDescent="0.25">
      <c r="A544" t="s">
        <v>8</v>
      </c>
      <c r="B544" t="s">
        <v>14</v>
      </c>
      <c r="C544" t="s">
        <v>21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25">
      <c r="A545" t="s">
        <v>8</v>
      </c>
      <c r="B545" t="s">
        <v>29</v>
      </c>
      <c r="C545" t="s">
        <v>21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25">
      <c r="A546" t="s">
        <v>8</v>
      </c>
      <c r="B546" t="s">
        <v>29</v>
      </c>
      <c r="C546" t="s">
        <v>18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25">
      <c r="A547" t="s">
        <v>19</v>
      </c>
      <c r="B547" t="s">
        <v>39</v>
      </c>
      <c r="C547" t="s">
        <v>38</v>
      </c>
      <c r="D547" t="s">
        <v>22</v>
      </c>
      <c r="E547" t="s">
        <v>16</v>
      </c>
      <c r="F547">
        <v>78</v>
      </c>
      <c r="G547">
        <v>83</v>
      </c>
      <c r="H547">
        <v>80</v>
      </c>
    </row>
    <row r="548" spans="1:8" x14ac:dyDescent="0.25">
      <c r="A548" t="s">
        <v>8</v>
      </c>
      <c r="B548" t="s">
        <v>20</v>
      </c>
      <c r="C548" t="s">
        <v>38</v>
      </c>
      <c r="D548" t="s">
        <v>11</v>
      </c>
      <c r="E548" t="s">
        <v>16</v>
      </c>
      <c r="F548">
        <v>92</v>
      </c>
      <c r="G548">
        <v>100</v>
      </c>
      <c r="H548">
        <v>97</v>
      </c>
    </row>
    <row r="549" spans="1:8" x14ac:dyDescent="0.25">
      <c r="A549" t="s">
        <v>19</v>
      </c>
      <c r="B549" t="s">
        <v>14</v>
      </c>
      <c r="C549" t="s">
        <v>30</v>
      </c>
      <c r="D549" t="s">
        <v>11</v>
      </c>
      <c r="E549" t="s">
        <v>16</v>
      </c>
      <c r="F549">
        <v>72</v>
      </c>
      <c r="G549">
        <v>67</v>
      </c>
      <c r="H549">
        <v>64</v>
      </c>
    </row>
    <row r="550" spans="1:8" x14ac:dyDescent="0.25">
      <c r="A550" t="s">
        <v>8</v>
      </c>
      <c r="B550" t="s">
        <v>14</v>
      </c>
      <c r="C550" t="s">
        <v>30</v>
      </c>
      <c r="D550" t="s">
        <v>22</v>
      </c>
      <c r="E550" t="s">
        <v>12</v>
      </c>
      <c r="F550">
        <v>62</v>
      </c>
      <c r="G550">
        <v>67</v>
      </c>
      <c r="H550">
        <v>64</v>
      </c>
    </row>
    <row r="551" spans="1:8" x14ac:dyDescent="0.25">
      <c r="A551" t="s">
        <v>19</v>
      </c>
      <c r="B551" t="s">
        <v>14</v>
      </c>
      <c r="C551" t="s">
        <v>18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25">
      <c r="A552" t="s">
        <v>19</v>
      </c>
      <c r="B552" t="s">
        <v>14</v>
      </c>
      <c r="C552" t="s">
        <v>38</v>
      </c>
      <c r="D552" t="s">
        <v>22</v>
      </c>
      <c r="E552" t="s">
        <v>12</v>
      </c>
      <c r="F552">
        <v>79</v>
      </c>
      <c r="G552">
        <v>76</v>
      </c>
      <c r="H552">
        <v>65</v>
      </c>
    </row>
    <row r="553" spans="1:8" x14ac:dyDescent="0.25">
      <c r="A553" t="s">
        <v>19</v>
      </c>
      <c r="B553" t="s">
        <v>9</v>
      </c>
      <c r="C553" t="s">
        <v>10</v>
      </c>
      <c r="D553" t="s">
        <v>22</v>
      </c>
      <c r="E553" t="s">
        <v>16</v>
      </c>
      <c r="F553">
        <v>87</v>
      </c>
      <c r="G553">
        <v>90</v>
      </c>
      <c r="H553">
        <v>88</v>
      </c>
    </row>
    <row r="554" spans="1:8" x14ac:dyDescent="0.25">
      <c r="A554" t="s">
        <v>8</v>
      </c>
      <c r="B554" t="s">
        <v>9</v>
      </c>
      <c r="C554" t="s">
        <v>21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25">
      <c r="A555" t="s">
        <v>19</v>
      </c>
      <c r="B555" t="s">
        <v>29</v>
      </c>
      <c r="C555" t="s">
        <v>15</v>
      </c>
      <c r="D555" t="s">
        <v>22</v>
      </c>
      <c r="E555" t="s">
        <v>12</v>
      </c>
      <c r="F555">
        <v>77</v>
      </c>
      <c r="G555">
        <v>62</v>
      </c>
      <c r="H555">
        <v>64</v>
      </c>
    </row>
    <row r="556" spans="1:8" x14ac:dyDescent="0.25">
      <c r="A556" t="s">
        <v>19</v>
      </c>
      <c r="B556" t="s">
        <v>39</v>
      </c>
      <c r="C556" t="s">
        <v>21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25">
      <c r="A557" t="s">
        <v>8</v>
      </c>
      <c r="B557" t="s">
        <v>14</v>
      </c>
      <c r="C557" t="s">
        <v>15</v>
      </c>
      <c r="D557" t="s">
        <v>22</v>
      </c>
      <c r="E557" t="s">
        <v>12</v>
      </c>
      <c r="F557">
        <v>32</v>
      </c>
      <c r="G557">
        <v>39</v>
      </c>
      <c r="H557">
        <v>33</v>
      </c>
    </row>
    <row r="558" spans="1:8" x14ac:dyDescent="0.25">
      <c r="A558" t="s">
        <v>8</v>
      </c>
      <c r="B558" t="s">
        <v>14</v>
      </c>
      <c r="C558" t="s">
        <v>21</v>
      </c>
      <c r="D558" t="s">
        <v>11</v>
      </c>
      <c r="E558" t="s">
        <v>16</v>
      </c>
      <c r="F558">
        <v>55</v>
      </c>
      <c r="G558">
        <v>72</v>
      </c>
      <c r="H558">
        <v>79</v>
      </c>
    </row>
    <row r="559" spans="1:8" x14ac:dyDescent="0.25">
      <c r="A559" t="s">
        <v>19</v>
      </c>
      <c r="B559" t="s">
        <v>14</v>
      </c>
      <c r="C559" t="s">
        <v>18</v>
      </c>
      <c r="D559" t="s">
        <v>22</v>
      </c>
      <c r="E559" t="s">
        <v>12</v>
      </c>
      <c r="F559">
        <v>61</v>
      </c>
      <c r="G559">
        <v>67</v>
      </c>
      <c r="H559">
        <v>66</v>
      </c>
    </row>
    <row r="560" spans="1:8" x14ac:dyDescent="0.25">
      <c r="A560" t="s">
        <v>8</v>
      </c>
      <c r="B560" t="s">
        <v>9</v>
      </c>
      <c r="C560" t="s">
        <v>21</v>
      </c>
      <c r="D560" t="s">
        <v>22</v>
      </c>
      <c r="E560" t="s">
        <v>12</v>
      </c>
      <c r="F560">
        <v>53</v>
      </c>
      <c r="G560">
        <v>70</v>
      </c>
      <c r="H560">
        <v>70</v>
      </c>
    </row>
    <row r="561" spans="1:8" x14ac:dyDescent="0.25">
      <c r="A561" t="s">
        <v>19</v>
      </c>
      <c r="B561" t="s">
        <v>29</v>
      </c>
      <c r="C561" t="s">
        <v>38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25">
      <c r="A562" t="s">
        <v>8</v>
      </c>
      <c r="B562" t="s">
        <v>29</v>
      </c>
      <c r="C562" t="s">
        <v>15</v>
      </c>
      <c r="D562" t="s">
        <v>11</v>
      </c>
      <c r="E562" t="s">
        <v>16</v>
      </c>
      <c r="F562">
        <v>74</v>
      </c>
      <c r="G562">
        <v>75</v>
      </c>
      <c r="H562">
        <v>79</v>
      </c>
    </row>
    <row r="563" spans="1:8" x14ac:dyDescent="0.25">
      <c r="A563" t="s">
        <v>8</v>
      </c>
      <c r="B563" t="s">
        <v>14</v>
      </c>
      <c r="C563" t="s">
        <v>15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25">
      <c r="A564" t="s">
        <v>19</v>
      </c>
      <c r="B564" t="s">
        <v>14</v>
      </c>
      <c r="C564" t="s">
        <v>10</v>
      </c>
      <c r="D564" t="s">
        <v>11</v>
      </c>
      <c r="E564" t="s">
        <v>16</v>
      </c>
      <c r="F564">
        <v>96</v>
      </c>
      <c r="G564">
        <v>90</v>
      </c>
      <c r="H564">
        <v>92</v>
      </c>
    </row>
    <row r="565" spans="1:8" x14ac:dyDescent="0.25">
      <c r="A565" t="s">
        <v>8</v>
      </c>
      <c r="B565" t="s">
        <v>29</v>
      </c>
      <c r="C565" t="s">
        <v>15</v>
      </c>
      <c r="D565" t="s">
        <v>22</v>
      </c>
      <c r="E565" t="s">
        <v>16</v>
      </c>
      <c r="F565">
        <v>63</v>
      </c>
      <c r="G565">
        <v>80</v>
      </c>
      <c r="H565">
        <v>80</v>
      </c>
    </row>
    <row r="566" spans="1:8" x14ac:dyDescent="0.25">
      <c r="A566" t="s">
        <v>19</v>
      </c>
      <c r="B566" t="s">
        <v>9</v>
      </c>
      <c r="C566" t="s">
        <v>10</v>
      </c>
      <c r="D566" t="s">
        <v>22</v>
      </c>
      <c r="E566" t="s">
        <v>12</v>
      </c>
      <c r="F566">
        <v>48</v>
      </c>
      <c r="G566">
        <v>51</v>
      </c>
      <c r="H566">
        <v>46</v>
      </c>
    </row>
    <row r="567" spans="1:8" x14ac:dyDescent="0.25">
      <c r="A567" t="s">
        <v>19</v>
      </c>
      <c r="B567" t="s">
        <v>9</v>
      </c>
      <c r="C567" t="s">
        <v>21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25">
      <c r="A568" t="s">
        <v>8</v>
      </c>
      <c r="B568" t="s">
        <v>39</v>
      </c>
      <c r="C568" t="s">
        <v>10</v>
      </c>
      <c r="D568" t="s">
        <v>22</v>
      </c>
      <c r="E568" t="s">
        <v>16</v>
      </c>
      <c r="F568">
        <v>92</v>
      </c>
      <c r="G568">
        <v>100</v>
      </c>
      <c r="H568">
        <v>100</v>
      </c>
    </row>
    <row r="569" spans="1:8" x14ac:dyDescent="0.25">
      <c r="A569" t="s">
        <v>8</v>
      </c>
      <c r="B569" t="s">
        <v>29</v>
      </c>
      <c r="C569" t="s">
        <v>18</v>
      </c>
      <c r="D569" t="s">
        <v>22</v>
      </c>
      <c r="E569" t="s">
        <v>16</v>
      </c>
      <c r="F569">
        <v>61</v>
      </c>
      <c r="G569">
        <v>71</v>
      </c>
      <c r="H569">
        <v>78</v>
      </c>
    </row>
    <row r="570" spans="1:8" x14ac:dyDescent="0.25">
      <c r="A570" t="s">
        <v>19</v>
      </c>
      <c r="B570" t="s">
        <v>9</v>
      </c>
      <c r="C570" t="s">
        <v>30</v>
      </c>
      <c r="D570" t="s">
        <v>22</v>
      </c>
      <c r="E570" t="s">
        <v>12</v>
      </c>
      <c r="F570">
        <v>63</v>
      </c>
      <c r="G570">
        <v>48</v>
      </c>
      <c r="H570">
        <v>47</v>
      </c>
    </row>
    <row r="571" spans="1:8" x14ac:dyDescent="0.25">
      <c r="A571" t="s">
        <v>19</v>
      </c>
      <c r="B571" t="s">
        <v>29</v>
      </c>
      <c r="C571" t="s">
        <v>10</v>
      </c>
      <c r="D571" t="s">
        <v>22</v>
      </c>
      <c r="E571" t="s">
        <v>12</v>
      </c>
      <c r="F571">
        <v>68</v>
      </c>
      <c r="G571">
        <v>68</v>
      </c>
      <c r="H571">
        <v>67</v>
      </c>
    </row>
    <row r="572" spans="1:8" x14ac:dyDescent="0.25">
      <c r="A572" t="s">
        <v>19</v>
      </c>
      <c r="B572" t="s">
        <v>9</v>
      </c>
      <c r="C572" t="s">
        <v>15</v>
      </c>
      <c r="D572" t="s">
        <v>11</v>
      </c>
      <c r="E572" t="s">
        <v>16</v>
      </c>
      <c r="F572">
        <v>71</v>
      </c>
      <c r="G572">
        <v>75</v>
      </c>
      <c r="H572">
        <v>70</v>
      </c>
    </row>
    <row r="573" spans="1:8" x14ac:dyDescent="0.25">
      <c r="A573" t="s">
        <v>19</v>
      </c>
      <c r="B573" t="s">
        <v>20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25">
      <c r="A574" t="s">
        <v>8</v>
      </c>
      <c r="B574" t="s">
        <v>14</v>
      </c>
      <c r="C574" t="s">
        <v>15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25">
      <c r="A575" t="s">
        <v>8</v>
      </c>
      <c r="B575" t="s">
        <v>14</v>
      </c>
      <c r="C575" t="s">
        <v>30</v>
      </c>
      <c r="D575" t="s">
        <v>22</v>
      </c>
      <c r="E575" t="s">
        <v>16</v>
      </c>
      <c r="F575">
        <v>50</v>
      </c>
      <c r="G575">
        <v>66</v>
      </c>
      <c r="H575">
        <v>64</v>
      </c>
    </row>
    <row r="576" spans="1:8" x14ac:dyDescent="0.25">
      <c r="A576" t="s">
        <v>8</v>
      </c>
      <c r="B576" t="s">
        <v>39</v>
      </c>
      <c r="C576" t="s">
        <v>30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25">
      <c r="A577" t="s">
        <v>19</v>
      </c>
      <c r="B577" t="s">
        <v>20</v>
      </c>
      <c r="C577" t="s">
        <v>21</v>
      </c>
      <c r="D577" t="s">
        <v>22</v>
      </c>
      <c r="E577" t="s">
        <v>16</v>
      </c>
      <c r="F577">
        <v>40</v>
      </c>
      <c r="G577">
        <v>55</v>
      </c>
      <c r="H577">
        <v>53</v>
      </c>
    </row>
    <row r="578" spans="1:8" x14ac:dyDescent="0.25">
      <c r="A578" t="s">
        <v>19</v>
      </c>
      <c r="B578" t="s">
        <v>20</v>
      </c>
      <c r="C578" t="s">
        <v>15</v>
      </c>
      <c r="D578" t="s">
        <v>11</v>
      </c>
      <c r="E578" t="s">
        <v>16</v>
      </c>
      <c r="F578">
        <v>61</v>
      </c>
      <c r="G578">
        <v>51</v>
      </c>
      <c r="H578">
        <v>52</v>
      </c>
    </row>
    <row r="579" spans="1:8" x14ac:dyDescent="0.25">
      <c r="A579" t="s">
        <v>8</v>
      </c>
      <c r="B579" t="s">
        <v>9</v>
      </c>
      <c r="C579" t="s">
        <v>30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25">
      <c r="A580" t="s">
        <v>8</v>
      </c>
      <c r="B580" t="s">
        <v>9</v>
      </c>
      <c r="C580" t="s">
        <v>15</v>
      </c>
      <c r="D580" t="s">
        <v>22</v>
      </c>
      <c r="E580" t="s">
        <v>16</v>
      </c>
      <c r="F580">
        <v>48</v>
      </c>
      <c r="G580">
        <v>56</v>
      </c>
      <c r="H580">
        <v>58</v>
      </c>
    </row>
    <row r="581" spans="1:8" x14ac:dyDescent="0.25">
      <c r="A581" t="s">
        <v>8</v>
      </c>
      <c r="B581" t="s">
        <v>29</v>
      </c>
      <c r="C581" t="s">
        <v>18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25">
      <c r="A582" t="s">
        <v>8</v>
      </c>
      <c r="B582" t="s">
        <v>29</v>
      </c>
      <c r="C582" t="s">
        <v>38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25">
      <c r="A583" t="s">
        <v>8</v>
      </c>
      <c r="B583" t="s">
        <v>39</v>
      </c>
      <c r="C583" t="s">
        <v>38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25">
      <c r="A584" t="s">
        <v>8</v>
      </c>
      <c r="B584" t="s">
        <v>29</v>
      </c>
      <c r="C584" t="s">
        <v>10</v>
      </c>
      <c r="D584" t="s">
        <v>22</v>
      </c>
      <c r="E584" t="s">
        <v>12</v>
      </c>
      <c r="F584">
        <v>63</v>
      </c>
      <c r="G584">
        <v>73</v>
      </c>
      <c r="H584">
        <v>78</v>
      </c>
    </row>
    <row r="585" spans="1:8" x14ac:dyDescent="0.25">
      <c r="A585" t="s">
        <v>8</v>
      </c>
      <c r="B585" t="s">
        <v>29</v>
      </c>
      <c r="C585" t="s">
        <v>21</v>
      </c>
      <c r="D585" t="s">
        <v>11</v>
      </c>
      <c r="E585" t="s">
        <v>16</v>
      </c>
      <c r="F585">
        <v>73</v>
      </c>
      <c r="G585">
        <v>75</v>
      </c>
      <c r="H585">
        <v>80</v>
      </c>
    </row>
    <row r="586" spans="1:8" x14ac:dyDescent="0.25">
      <c r="A586" t="s">
        <v>8</v>
      </c>
      <c r="B586" t="s">
        <v>29</v>
      </c>
      <c r="C586" t="s">
        <v>15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25">
      <c r="A587" t="s">
        <v>8</v>
      </c>
      <c r="B587" t="s">
        <v>14</v>
      </c>
      <c r="C587" t="s">
        <v>21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25">
      <c r="A588" t="s">
        <v>8</v>
      </c>
      <c r="B588" t="s">
        <v>20</v>
      </c>
      <c r="C588" t="s">
        <v>30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25">
      <c r="A589" t="s">
        <v>8</v>
      </c>
      <c r="B589" t="s">
        <v>14</v>
      </c>
      <c r="C589" t="s">
        <v>10</v>
      </c>
      <c r="D589" t="s">
        <v>22</v>
      </c>
      <c r="E589" t="s">
        <v>12</v>
      </c>
      <c r="F589">
        <v>44</v>
      </c>
      <c r="G589">
        <v>63</v>
      </c>
      <c r="H589">
        <v>62</v>
      </c>
    </row>
    <row r="590" spans="1:8" x14ac:dyDescent="0.25">
      <c r="A590" t="s">
        <v>8</v>
      </c>
      <c r="B590" t="s">
        <v>14</v>
      </c>
      <c r="C590" t="s">
        <v>15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25">
      <c r="A591" t="s">
        <v>8</v>
      </c>
      <c r="B591" t="s">
        <v>20</v>
      </c>
      <c r="C591" t="s">
        <v>38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25">
      <c r="A592" t="s">
        <v>19</v>
      </c>
      <c r="B592" t="s">
        <v>14</v>
      </c>
      <c r="C592" t="s">
        <v>15</v>
      </c>
      <c r="D592" t="s">
        <v>22</v>
      </c>
      <c r="E592" t="s">
        <v>12</v>
      </c>
      <c r="F592">
        <v>58</v>
      </c>
      <c r="G592">
        <v>57</v>
      </c>
      <c r="H592">
        <v>54</v>
      </c>
    </row>
    <row r="593" spans="1:8" x14ac:dyDescent="0.25">
      <c r="A593" t="s">
        <v>19</v>
      </c>
      <c r="B593" t="s">
        <v>20</v>
      </c>
      <c r="C593" t="s">
        <v>38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25">
      <c r="A594" t="s">
        <v>19</v>
      </c>
      <c r="B594" t="s">
        <v>39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25">
      <c r="A595" t="s">
        <v>8</v>
      </c>
      <c r="B595" t="s">
        <v>39</v>
      </c>
      <c r="C595" t="s">
        <v>30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25">
      <c r="A596" t="s">
        <v>8</v>
      </c>
      <c r="B596" t="s">
        <v>14</v>
      </c>
      <c r="C596" t="s">
        <v>10</v>
      </c>
      <c r="D596" t="s">
        <v>11</v>
      </c>
      <c r="E596" t="s">
        <v>16</v>
      </c>
      <c r="F596">
        <v>92</v>
      </c>
      <c r="G596">
        <v>100</v>
      </c>
      <c r="H596">
        <v>99</v>
      </c>
    </row>
    <row r="597" spans="1:8" x14ac:dyDescent="0.25">
      <c r="A597" t="s">
        <v>8</v>
      </c>
      <c r="B597" t="s">
        <v>14</v>
      </c>
      <c r="C597" t="s">
        <v>10</v>
      </c>
      <c r="D597" t="s">
        <v>11</v>
      </c>
      <c r="E597" t="s">
        <v>16</v>
      </c>
      <c r="F597">
        <v>56</v>
      </c>
      <c r="G597">
        <v>79</v>
      </c>
      <c r="H597">
        <v>72</v>
      </c>
    </row>
    <row r="598" spans="1:8" x14ac:dyDescent="0.25">
      <c r="A598" t="s">
        <v>19</v>
      </c>
      <c r="B598" t="s">
        <v>9</v>
      </c>
      <c r="C598" t="s">
        <v>30</v>
      </c>
      <c r="D598" t="s">
        <v>22</v>
      </c>
      <c r="E598" t="s">
        <v>12</v>
      </c>
      <c r="F598">
        <v>30</v>
      </c>
      <c r="G598">
        <v>24</v>
      </c>
      <c r="H598">
        <v>15</v>
      </c>
    </row>
    <row r="599" spans="1:8" x14ac:dyDescent="0.25">
      <c r="A599" t="s">
        <v>19</v>
      </c>
      <c r="B599" t="s">
        <v>20</v>
      </c>
      <c r="C599" t="s">
        <v>38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25">
      <c r="A600" t="s">
        <v>8</v>
      </c>
      <c r="B600" t="s">
        <v>29</v>
      </c>
      <c r="C600" t="s">
        <v>30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25">
      <c r="A601" t="s">
        <v>8</v>
      </c>
      <c r="B601" t="s">
        <v>29</v>
      </c>
      <c r="C601" t="s">
        <v>38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25">
      <c r="A602" t="s">
        <v>8</v>
      </c>
      <c r="B602" t="s">
        <v>29</v>
      </c>
      <c r="C602" t="s">
        <v>18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25">
      <c r="A603" t="s">
        <v>8</v>
      </c>
      <c r="B603" t="s">
        <v>14</v>
      </c>
      <c r="C603" t="s">
        <v>30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25">
      <c r="A604" t="s">
        <v>8</v>
      </c>
      <c r="B604" t="s">
        <v>39</v>
      </c>
      <c r="C604" t="s">
        <v>15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25">
      <c r="A605" t="s">
        <v>19</v>
      </c>
      <c r="B605" t="s">
        <v>29</v>
      </c>
      <c r="C605" t="s">
        <v>30</v>
      </c>
      <c r="D605" t="s">
        <v>22</v>
      </c>
      <c r="E605" t="s">
        <v>12</v>
      </c>
      <c r="F605">
        <v>60</v>
      </c>
      <c r="G605">
        <v>57</v>
      </c>
      <c r="H605">
        <v>51</v>
      </c>
    </row>
    <row r="606" spans="1:8" x14ac:dyDescent="0.25">
      <c r="A606" t="s">
        <v>19</v>
      </c>
      <c r="B606" t="s">
        <v>29</v>
      </c>
      <c r="C606" t="s">
        <v>18</v>
      </c>
      <c r="D606" t="s">
        <v>22</v>
      </c>
      <c r="E606" t="s">
        <v>16</v>
      </c>
      <c r="F606">
        <v>84</v>
      </c>
      <c r="G606">
        <v>89</v>
      </c>
      <c r="H606">
        <v>90</v>
      </c>
    </row>
    <row r="607" spans="1:8" x14ac:dyDescent="0.25">
      <c r="A607" t="s">
        <v>19</v>
      </c>
      <c r="B607" t="s">
        <v>14</v>
      </c>
      <c r="C607" t="s">
        <v>38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25">
      <c r="A608" t="s">
        <v>8</v>
      </c>
      <c r="B608" t="s">
        <v>14</v>
      </c>
      <c r="C608" t="s">
        <v>21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25">
      <c r="A609" t="s">
        <v>8</v>
      </c>
      <c r="B609" t="s">
        <v>14</v>
      </c>
      <c r="C609" t="s">
        <v>18</v>
      </c>
      <c r="D609" t="s">
        <v>22</v>
      </c>
      <c r="E609" t="s">
        <v>12</v>
      </c>
      <c r="F609">
        <v>40</v>
      </c>
      <c r="G609">
        <v>58</v>
      </c>
      <c r="H609">
        <v>54</v>
      </c>
    </row>
    <row r="610" spans="1:8" x14ac:dyDescent="0.25">
      <c r="A610" t="s">
        <v>8</v>
      </c>
      <c r="B610" t="s">
        <v>39</v>
      </c>
      <c r="C610" t="s">
        <v>15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25">
      <c r="A611" t="s">
        <v>8</v>
      </c>
      <c r="B611" t="s">
        <v>9</v>
      </c>
      <c r="C611" t="s">
        <v>21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25">
      <c r="A612" t="s">
        <v>19</v>
      </c>
      <c r="B612" t="s">
        <v>29</v>
      </c>
      <c r="C612" t="s">
        <v>15</v>
      </c>
      <c r="D612" t="s">
        <v>22</v>
      </c>
      <c r="E612" t="s">
        <v>16</v>
      </c>
      <c r="F612">
        <v>69</v>
      </c>
      <c r="G612">
        <v>60</v>
      </c>
      <c r="H612">
        <v>63</v>
      </c>
    </row>
    <row r="613" spans="1:8" x14ac:dyDescent="0.25">
      <c r="A613" t="s">
        <v>8</v>
      </c>
      <c r="B613" t="s">
        <v>14</v>
      </c>
      <c r="C613" t="s">
        <v>15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25">
      <c r="A614" t="s">
        <v>19</v>
      </c>
      <c r="B614" t="s">
        <v>14</v>
      </c>
      <c r="C614" t="s">
        <v>10</v>
      </c>
      <c r="D614" t="s">
        <v>11</v>
      </c>
      <c r="E614" t="s">
        <v>16</v>
      </c>
      <c r="F614">
        <v>94</v>
      </c>
      <c r="G614">
        <v>90</v>
      </c>
      <c r="H614">
        <v>91</v>
      </c>
    </row>
    <row r="615" spans="1:8" x14ac:dyDescent="0.25">
      <c r="A615" t="s">
        <v>8</v>
      </c>
      <c r="B615" t="s">
        <v>14</v>
      </c>
      <c r="C615" t="s">
        <v>21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25">
      <c r="A616" t="s">
        <v>8</v>
      </c>
      <c r="B616" t="s">
        <v>20</v>
      </c>
      <c r="C616" t="s">
        <v>21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25">
      <c r="A617" t="s">
        <v>8</v>
      </c>
      <c r="B617" t="s">
        <v>14</v>
      </c>
      <c r="C617" t="s">
        <v>30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25">
      <c r="A618" t="s">
        <v>8</v>
      </c>
      <c r="B618" t="s">
        <v>39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25">
      <c r="A619" t="s">
        <v>19</v>
      </c>
      <c r="B619" t="s">
        <v>29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25">
      <c r="A620" t="s">
        <v>19</v>
      </c>
      <c r="B620" t="s">
        <v>29</v>
      </c>
      <c r="C620" t="s">
        <v>18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25">
      <c r="A621" t="s">
        <v>19</v>
      </c>
      <c r="B621" t="s">
        <v>14</v>
      </c>
      <c r="C621" t="s">
        <v>21</v>
      </c>
      <c r="D621" t="s">
        <v>22</v>
      </c>
      <c r="E621" t="s">
        <v>16</v>
      </c>
      <c r="F621">
        <v>65</v>
      </c>
      <c r="G621">
        <v>73</v>
      </c>
      <c r="H621">
        <v>68</v>
      </c>
    </row>
    <row r="622" spans="1:8" x14ac:dyDescent="0.25">
      <c r="A622" t="s">
        <v>8</v>
      </c>
      <c r="B622" t="s">
        <v>14</v>
      </c>
      <c r="C622" t="s">
        <v>30</v>
      </c>
      <c r="D622" t="s">
        <v>22</v>
      </c>
      <c r="E622" t="s">
        <v>12</v>
      </c>
      <c r="F622">
        <v>35</v>
      </c>
      <c r="G622">
        <v>61</v>
      </c>
      <c r="H622">
        <v>54</v>
      </c>
    </row>
    <row r="623" spans="1:8" x14ac:dyDescent="0.25">
      <c r="A623" t="s">
        <v>19</v>
      </c>
      <c r="B623" t="s">
        <v>9</v>
      </c>
      <c r="C623" t="s">
        <v>10</v>
      </c>
      <c r="D623" t="s">
        <v>22</v>
      </c>
      <c r="E623" t="s">
        <v>12</v>
      </c>
      <c r="F623">
        <v>62</v>
      </c>
      <c r="G623">
        <v>63</v>
      </c>
      <c r="H623">
        <v>56</v>
      </c>
    </row>
    <row r="624" spans="1:8" x14ac:dyDescent="0.25">
      <c r="A624" t="s">
        <v>19</v>
      </c>
      <c r="B624" t="s">
        <v>14</v>
      </c>
      <c r="C624" t="s">
        <v>30</v>
      </c>
      <c r="D624" t="s">
        <v>22</v>
      </c>
      <c r="E624" t="s">
        <v>16</v>
      </c>
      <c r="F624">
        <v>58</v>
      </c>
      <c r="G624">
        <v>51</v>
      </c>
      <c r="H624">
        <v>52</v>
      </c>
    </row>
    <row r="625" spans="1:8" x14ac:dyDescent="0.25">
      <c r="A625" t="s">
        <v>19</v>
      </c>
      <c r="B625" t="s">
        <v>20</v>
      </c>
      <c r="C625" t="s">
        <v>15</v>
      </c>
      <c r="D625" t="s">
        <v>11</v>
      </c>
      <c r="E625" t="s">
        <v>16</v>
      </c>
      <c r="F625">
        <v>100</v>
      </c>
      <c r="G625">
        <v>96</v>
      </c>
      <c r="H625">
        <v>86</v>
      </c>
    </row>
    <row r="626" spans="1:8" x14ac:dyDescent="0.25">
      <c r="A626" t="s">
        <v>8</v>
      </c>
      <c r="B626" t="s">
        <v>39</v>
      </c>
      <c r="C626" t="s">
        <v>10</v>
      </c>
      <c r="D626" t="s">
        <v>22</v>
      </c>
      <c r="E626" t="s">
        <v>12</v>
      </c>
      <c r="F626">
        <v>61</v>
      </c>
      <c r="G626">
        <v>58</v>
      </c>
      <c r="H626">
        <v>62</v>
      </c>
    </row>
    <row r="627" spans="1:8" x14ac:dyDescent="0.25">
      <c r="A627" t="s">
        <v>19</v>
      </c>
      <c r="B627" t="s">
        <v>29</v>
      </c>
      <c r="C627" t="s">
        <v>15</v>
      </c>
      <c r="D627" t="s">
        <v>11</v>
      </c>
      <c r="E627" t="s">
        <v>16</v>
      </c>
      <c r="F627">
        <v>100</v>
      </c>
      <c r="G627">
        <v>97</v>
      </c>
      <c r="H627">
        <v>99</v>
      </c>
    </row>
    <row r="628" spans="1:8" x14ac:dyDescent="0.25">
      <c r="A628" t="s">
        <v>19</v>
      </c>
      <c r="B628" t="s">
        <v>9</v>
      </c>
      <c r="C628" t="s">
        <v>21</v>
      </c>
      <c r="D628" t="s">
        <v>22</v>
      </c>
      <c r="E628" t="s">
        <v>16</v>
      </c>
      <c r="F628">
        <v>69</v>
      </c>
      <c r="G628">
        <v>70</v>
      </c>
      <c r="H628">
        <v>63</v>
      </c>
    </row>
    <row r="629" spans="1:8" x14ac:dyDescent="0.25">
      <c r="A629" t="s">
        <v>19</v>
      </c>
      <c r="B629" t="s">
        <v>29</v>
      </c>
      <c r="C629" t="s">
        <v>21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25">
      <c r="A630" t="s">
        <v>19</v>
      </c>
      <c r="B630" t="s">
        <v>29</v>
      </c>
      <c r="C630" t="s">
        <v>15</v>
      </c>
      <c r="D630" t="s">
        <v>22</v>
      </c>
      <c r="E630" t="s">
        <v>12</v>
      </c>
      <c r="F630">
        <v>49</v>
      </c>
      <c r="G630">
        <v>57</v>
      </c>
      <c r="H630">
        <v>46</v>
      </c>
    </row>
    <row r="631" spans="1:8" x14ac:dyDescent="0.25">
      <c r="A631" t="s">
        <v>8</v>
      </c>
      <c r="B631" t="s">
        <v>14</v>
      </c>
      <c r="C631" t="s">
        <v>38</v>
      </c>
      <c r="D631" t="s">
        <v>11</v>
      </c>
      <c r="E631" t="s">
        <v>16</v>
      </c>
      <c r="F631">
        <v>44</v>
      </c>
      <c r="G631">
        <v>51</v>
      </c>
      <c r="H631">
        <v>55</v>
      </c>
    </row>
    <row r="632" spans="1:8" x14ac:dyDescent="0.25">
      <c r="A632" t="s">
        <v>19</v>
      </c>
      <c r="B632" t="s">
        <v>29</v>
      </c>
      <c r="C632" t="s">
        <v>15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25">
      <c r="A633" t="s">
        <v>19</v>
      </c>
      <c r="B633" t="s">
        <v>9</v>
      </c>
      <c r="C633" t="s">
        <v>30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25">
      <c r="A634" t="s">
        <v>8</v>
      </c>
      <c r="B634" t="s">
        <v>9</v>
      </c>
      <c r="C634" t="s">
        <v>10</v>
      </c>
      <c r="D634" t="s">
        <v>11</v>
      </c>
      <c r="E634" t="s">
        <v>16</v>
      </c>
      <c r="F634">
        <v>66</v>
      </c>
      <c r="G634">
        <v>74</v>
      </c>
      <c r="H634">
        <v>81</v>
      </c>
    </row>
    <row r="635" spans="1:8" x14ac:dyDescent="0.25">
      <c r="A635" t="s">
        <v>8</v>
      </c>
      <c r="B635" t="s">
        <v>14</v>
      </c>
      <c r="C635" t="s">
        <v>30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25">
      <c r="A636" t="s">
        <v>19</v>
      </c>
      <c r="B636" t="s">
        <v>29</v>
      </c>
      <c r="C636" t="s">
        <v>38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25">
      <c r="A637" t="s">
        <v>19</v>
      </c>
      <c r="B637" t="s">
        <v>20</v>
      </c>
      <c r="C637" t="s">
        <v>30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25">
      <c r="A638" t="s">
        <v>8</v>
      </c>
      <c r="B638" t="s">
        <v>9</v>
      </c>
      <c r="C638" t="s">
        <v>30</v>
      </c>
      <c r="D638" t="s">
        <v>22</v>
      </c>
      <c r="E638" t="s">
        <v>16</v>
      </c>
      <c r="F638">
        <v>67</v>
      </c>
      <c r="G638">
        <v>80</v>
      </c>
      <c r="H638">
        <v>81</v>
      </c>
    </row>
    <row r="639" spans="1:8" x14ac:dyDescent="0.25">
      <c r="A639" t="s">
        <v>8</v>
      </c>
      <c r="B639" t="s">
        <v>29</v>
      </c>
      <c r="C639" t="s">
        <v>38</v>
      </c>
      <c r="D639" t="s">
        <v>11</v>
      </c>
      <c r="E639" t="s">
        <v>16</v>
      </c>
      <c r="F639">
        <v>80</v>
      </c>
      <c r="G639">
        <v>92</v>
      </c>
      <c r="H639">
        <v>88</v>
      </c>
    </row>
    <row r="640" spans="1:8" x14ac:dyDescent="0.25">
      <c r="A640" t="s">
        <v>19</v>
      </c>
      <c r="B640" t="s">
        <v>39</v>
      </c>
      <c r="C640" t="s">
        <v>15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25">
      <c r="A641" t="s">
        <v>8</v>
      </c>
      <c r="B641" t="s">
        <v>29</v>
      </c>
      <c r="C641" t="s">
        <v>21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25">
      <c r="A642" t="s">
        <v>19</v>
      </c>
      <c r="B642" t="s">
        <v>29</v>
      </c>
      <c r="C642" t="s">
        <v>30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25">
      <c r="A643" t="s">
        <v>8</v>
      </c>
      <c r="B643" t="s">
        <v>29</v>
      </c>
      <c r="C643" t="s">
        <v>21</v>
      </c>
      <c r="D643" t="s">
        <v>22</v>
      </c>
      <c r="E643" t="s">
        <v>16</v>
      </c>
      <c r="F643">
        <v>74</v>
      </c>
      <c r="G643">
        <v>88</v>
      </c>
      <c r="H643">
        <v>90</v>
      </c>
    </row>
    <row r="644" spans="1:8" x14ac:dyDescent="0.25">
      <c r="A644" t="s">
        <v>8</v>
      </c>
      <c r="B644" t="s">
        <v>9</v>
      </c>
      <c r="C644" t="s">
        <v>38</v>
      </c>
      <c r="D644" t="s">
        <v>22</v>
      </c>
      <c r="E644" t="s">
        <v>12</v>
      </c>
      <c r="F644">
        <v>72</v>
      </c>
      <c r="G644">
        <v>81</v>
      </c>
      <c r="H644">
        <v>79</v>
      </c>
    </row>
    <row r="645" spans="1:8" x14ac:dyDescent="0.25">
      <c r="A645" t="s">
        <v>8</v>
      </c>
      <c r="B645" t="s">
        <v>39</v>
      </c>
      <c r="C645" t="s">
        <v>30</v>
      </c>
      <c r="D645" t="s">
        <v>11</v>
      </c>
      <c r="E645" t="s">
        <v>16</v>
      </c>
      <c r="F645">
        <v>74</v>
      </c>
      <c r="G645">
        <v>79</v>
      </c>
      <c r="H645">
        <v>80</v>
      </c>
    </row>
    <row r="646" spans="1:8" x14ac:dyDescent="0.25">
      <c r="A646" t="s">
        <v>19</v>
      </c>
      <c r="B646" t="s">
        <v>9</v>
      </c>
      <c r="C646" t="s">
        <v>30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25">
      <c r="A647" t="s">
        <v>8</v>
      </c>
      <c r="B647" t="s">
        <v>9</v>
      </c>
      <c r="C647" t="s">
        <v>10</v>
      </c>
      <c r="D647" t="s">
        <v>11</v>
      </c>
      <c r="E647" t="s">
        <v>16</v>
      </c>
      <c r="F647">
        <v>65</v>
      </c>
      <c r="G647">
        <v>81</v>
      </c>
      <c r="H647">
        <v>81</v>
      </c>
    </row>
    <row r="648" spans="1:8" x14ac:dyDescent="0.25">
      <c r="A648" t="s">
        <v>8</v>
      </c>
      <c r="B648" t="s">
        <v>29</v>
      </c>
      <c r="C648" t="s">
        <v>21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25">
      <c r="A649" t="s">
        <v>8</v>
      </c>
      <c r="B649" t="s">
        <v>39</v>
      </c>
      <c r="C649" t="s">
        <v>30</v>
      </c>
      <c r="D649" t="s">
        <v>22</v>
      </c>
      <c r="E649" t="s">
        <v>12</v>
      </c>
      <c r="F649">
        <v>64</v>
      </c>
      <c r="G649">
        <v>62</v>
      </c>
      <c r="H649">
        <v>68</v>
      </c>
    </row>
    <row r="650" spans="1:8" x14ac:dyDescent="0.25">
      <c r="A650" t="s">
        <v>8</v>
      </c>
      <c r="B650" t="s">
        <v>9</v>
      </c>
      <c r="C650" t="s">
        <v>30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25">
      <c r="A651" t="s">
        <v>8</v>
      </c>
      <c r="B651" t="s">
        <v>29</v>
      </c>
      <c r="C651" t="s">
        <v>15</v>
      </c>
      <c r="D651" t="s">
        <v>11</v>
      </c>
      <c r="E651" t="s">
        <v>16</v>
      </c>
      <c r="F651">
        <v>69</v>
      </c>
      <c r="G651">
        <v>79</v>
      </c>
      <c r="H651">
        <v>81</v>
      </c>
    </row>
    <row r="652" spans="1:8" x14ac:dyDescent="0.25">
      <c r="A652" t="s">
        <v>19</v>
      </c>
      <c r="B652" t="s">
        <v>14</v>
      </c>
      <c r="C652" t="s">
        <v>38</v>
      </c>
      <c r="D652" t="s">
        <v>22</v>
      </c>
      <c r="E652" t="s">
        <v>16</v>
      </c>
      <c r="F652">
        <v>51</v>
      </c>
      <c r="G652">
        <v>56</v>
      </c>
      <c r="H652">
        <v>53</v>
      </c>
    </row>
    <row r="653" spans="1:8" x14ac:dyDescent="0.25">
      <c r="A653" t="s">
        <v>8</v>
      </c>
      <c r="B653" t="s">
        <v>20</v>
      </c>
      <c r="C653" t="s">
        <v>30</v>
      </c>
      <c r="D653" t="s">
        <v>11</v>
      </c>
      <c r="E653" t="s">
        <v>16</v>
      </c>
      <c r="F653">
        <v>68</v>
      </c>
      <c r="G653">
        <v>80</v>
      </c>
      <c r="H653">
        <v>76</v>
      </c>
    </row>
    <row r="654" spans="1:8" x14ac:dyDescent="0.25">
      <c r="A654" t="s">
        <v>8</v>
      </c>
      <c r="B654" t="s">
        <v>29</v>
      </c>
      <c r="C654" t="s">
        <v>15</v>
      </c>
      <c r="D654" t="s">
        <v>11</v>
      </c>
      <c r="E654" t="s">
        <v>16</v>
      </c>
      <c r="F654">
        <v>85</v>
      </c>
      <c r="G654">
        <v>86</v>
      </c>
      <c r="H654">
        <v>98</v>
      </c>
    </row>
    <row r="655" spans="1:8" x14ac:dyDescent="0.25">
      <c r="A655" t="s">
        <v>8</v>
      </c>
      <c r="B655" t="s">
        <v>20</v>
      </c>
      <c r="C655" t="s">
        <v>21</v>
      </c>
      <c r="D655" t="s">
        <v>11</v>
      </c>
      <c r="E655" t="s">
        <v>16</v>
      </c>
      <c r="F655">
        <v>65</v>
      </c>
      <c r="G655">
        <v>70</v>
      </c>
      <c r="H655">
        <v>74</v>
      </c>
    </row>
    <row r="656" spans="1:8" x14ac:dyDescent="0.25">
      <c r="A656" t="s">
        <v>8</v>
      </c>
      <c r="B656" t="s">
        <v>9</v>
      </c>
      <c r="C656" t="s">
        <v>38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25">
      <c r="A657" t="s">
        <v>8</v>
      </c>
      <c r="B657" t="s">
        <v>9</v>
      </c>
      <c r="C657" t="s">
        <v>15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25">
      <c r="A658" t="s">
        <v>19</v>
      </c>
      <c r="B658" t="s">
        <v>14</v>
      </c>
      <c r="C658" t="s">
        <v>21</v>
      </c>
      <c r="D658" t="s">
        <v>22</v>
      </c>
      <c r="E658" t="s">
        <v>12</v>
      </c>
      <c r="F658">
        <v>77</v>
      </c>
      <c r="G658">
        <v>67</v>
      </c>
      <c r="H658">
        <v>64</v>
      </c>
    </row>
    <row r="659" spans="1:8" x14ac:dyDescent="0.25">
      <c r="A659" t="s">
        <v>19</v>
      </c>
      <c r="B659" t="s">
        <v>29</v>
      </c>
      <c r="C659" t="s">
        <v>38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25">
      <c r="A660" t="s">
        <v>8</v>
      </c>
      <c r="B660" t="s">
        <v>29</v>
      </c>
      <c r="C660" t="s">
        <v>21</v>
      </c>
      <c r="D660" t="s">
        <v>22</v>
      </c>
      <c r="E660" t="s">
        <v>12</v>
      </c>
      <c r="F660">
        <v>43</v>
      </c>
      <c r="G660">
        <v>60</v>
      </c>
      <c r="H660">
        <v>58</v>
      </c>
    </row>
    <row r="661" spans="1:8" x14ac:dyDescent="0.25">
      <c r="A661" t="s">
        <v>19</v>
      </c>
      <c r="B661" t="s">
        <v>29</v>
      </c>
      <c r="C661" t="s">
        <v>21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25">
      <c r="A662" t="s">
        <v>19</v>
      </c>
      <c r="B662" t="s">
        <v>14</v>
      </c>
      <c r="C662" t="s">
        <v>15</v>
      </c>
      <c r="D662" t="s">
        <v>22</v>
      </c>
      <c r="E662" t="s">
        <v>12</v>
      </c>
      <c r="F662">
        <v>74</v>
      </c>
      <c r="G662">
        <v>77</v>
      </c>
      <c r="H662">
        <v>73</v>
      </c>
    </row>
    <row r="663" spans="1:8" x14ac:dyDescent="0.25">
      <c r="A663" t="s">
        <v>19</v>
      </c>
      <c r="B663" t="s">
        <v>14</v>
      </c>
      <c r="C663" t="s">
        <v>38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25">
      <c r="A664" t="s">
        <v>8</v>
      </c>
      <c r="B664" t="s">
        <v>29</v>
      </c>
      <c r="C664" t="s">
        <v>15</v>
      </c>
      <c r="D664" t="s">
        <v>22</v>
      </c>
      <c r="E664" t="s">
        <v>12</v>
      </c>
      <c r="F664">
        <v>55</v>
      </c>
      <c r="G664">
        <v>71</v>
      </c>
      <c r="H664">
        <v>69</v>
      </c>
    </row>
    <row r="665" spans="1:8" x14ac:dyDescent="0.25">
      <c r="A665" t="s">
        <v>8</v>
      </c>
      <c r="B665" t="s">
        <v>14</v>
      </c>
      <c r="C665" t="s">
        <v>30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25">
      <c r="A666" t="s">
        <v>19</v>
      </c>
      <c r="B666" t="s">
        <v>29</v>
      </c>
      <c r="C666" t="s">
        <v>21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25">
      <c r="A667" t="s">
        <v>8</v>
      </c>
      <c r="B667" t="s">
        <v>14</v>
      </c>
      <c r="C667" t="s">
        <v>38</v>
      </c>
      <c r="D667" t="s">
        <v>22</v>
      </c>
      <c r="E667" t="s">
        <v>16</v>
      </c>
      <c r="F667">
        <v>50</v>
      </c>
      <c r="G667">
        <v>60</v>
      </c>
      <c r="H667">
        <v>60</v>
      </c>
    </row>
    <row r="668" spans="1:8" x14ac:dyDescent="0.25">
      <c r="A668" t="s">
        <v>8</v>
      </c>
      <c r="B668" t="s">
        <v>14</v>
      </c>
      <c r="C668" t="s">
        <v>15</v>
      </c>
      <c r="D668" t="s">
        <v>22</v>
      </c>
      <c r="E668" t="s">
        <v>16</v>
      </c>
      <c r="F668">
        <v>63</v>
      </c>
      <c r="G668">
        <v>73</v>
      </c>
      <c r="H668">
        <v>71</v>
      </c>
    </row>
    <row r="669" spans="1:8" x14ac:dyDescent="0.25">
      <c r="A669" t="s">
        <v>8</v>
      </c>
      <c r="B669" t="s">
        <v>9</v>
      </c>
      <c r="C669" t="s">
        <v>10</v>
      </c>
      <c r="D669" t="s">
        <v>22</v>
      </c>
      <c r="E669" t="s">
        <v>12</v>
      </c>
      <c r="F669">
        <v>77</v>
      </c>
      <c r="G669">
        <v>85</v>
      </c>
      <c r="H669">
        <v>87</v>
      </c>
    </row>
    <row r="670" spans="1:8" x14ac:dyDescent="0.25">
      <c r="A670" t="s">
        <v>19</v>
      </c>
      <c r="B670" t="s">
        <v>14</v>
      </c>
      <c r="C670" t="s">
        <v>15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25">
      <c r="A671" t="s">
        <v>19</v>
      </c>
      <c r="B671" t="s">
        <v>29</v>
      </c>
      <c r="C671" t="s">
        <v>21</v>
      </c>
      <c r="D671" t="s">
        <v>11</v>
      </c>
      <c r="E671" t="s">
        <v>16</v>
      </c>
      <c r="F671">
        <v>81</v>
      </c>
      <c r="G671">
        <v>72</v>
      </c>
      <c r="H671">
        <v>77</v>
      </c>
    </row>
    <row r="672" spans="1:8" x14ac:dyDescent="0.25">
      <c r="A672" t="s">
        <v>8</v>
      </c>
      <c r="B672" t="s">
        <v>14</v>
      </c>
      <c r="C672" t="s">
        <v>30</v>
      </c>
      <c r="D672" t="s">
        <v>22</v>
      </c>
      <c r="E672" t="s">
        <v>12</v>
      </c>
      <c r="F672">
        <v>66</v>
      </c>
      <c r="G672">
        <v>76</v>
      </c>
      <c r="H672">
        <v>68</v>
      </c>
    </row>
    <row r="673" spans="1:8" x14ac:dyDescent="0.25">
      <c r="A673" t="s">
        <v>19</v>
      </c>
      <c r="B673" t="s">
        <v>29</v>
      </c>
      <c r="C673" t="s">
        <v>21</v>
      </c>
      <c r="D673" t="s">
        <v>22</v>
      </c>
      <c r="E673" t="s">
        <v>12</v>
      </c>
      <c r="F673">
        <v>52</v>
      </c>
      <c r="G673">
        <v>57</v>
      </c>
      <c r="H673">
        <v>50</v>
      </c>
    </row>
    <row r="674" spans="1:8" x14ac:dyDescent="0.25">
      <c r="A674" t="s">
        <v>8</v>
      </c>
      <c r="B674" t="s">
        <v>14</v>
      </c>
      <c r="C674" t="s">
        <v>15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25">
      <c r="A675" t="s">
        <v>8</v>
      </c>
      <c r="B675" t="s">
        <v>14</v>
      </c>
      <c r="C675" t="s">
        <v>21</v>
      </c>
      <c r="D675" t="s">
        <v>11</v>
      </c>
      <c r="E675" t="s">
        <v>16</v>
      </c>
      <c r="F675">
        <v>65</v>
      </c>
      <c r="G675">
        <v>84</v>
      </c>
      <c r="H675">
        <v>84</v>
      </c>
    </row>
    <row r="676" spans="1:8" x14ac:dyDescent="0.25">
      <c r="A676" t="s">
        <v>8</v>
      </c>
      <c r="B676" t="s">
        <v>29</v>
      </c>
      <c r="C676" t="s">
        <v>30</v>
      </c>
      <c r="D676" t="s">
        <v>11</v>
      </c>
      <c r="E676" t="s">
        <v>16</v>
      </c>
      <c r="F676">
        <v>69</v>
      </c>
      <c r="G676">
        <v>77</v>
      </c>
      <c r="H676">
        <v>78</v>
      </c>
    </row>
    <row r="677" spans="1:8" x14ac:dyDescent="0.25">
      <c r="A677" t="s">
        <v>8</v>
      </c>
      <c r="B677" t="s">
        <v>9</v>
      </c>
      <c r="C677" t="s">
        <v>15</v>
      </c>
      <c r="D677" t="s">
        <v>11</v>
      </c>
      <c r="E677" t="s">
        <v>16</v>
      </c>
      <c r="F677">
        <v>50</v>
      </c>
      <c r="G677">
        <v>64</v>
      </c>
      <c r="H677">
        <v>66</v>
      </c>
    </row>
    <row r="678" spans="1:8" x14ac:dyDescent="0.25">
      <c r="A678" t="s">
        <v>8</v>
      </c>
      <c r="B678" t="s">
        <v>39</v>
      </c>
      <c r="C678" t="s">
        <v>15</v>
      </c>
      <c r="D678" t="s">
        <v>11</v>
      </c>
      <c r="E678" t="s">
        <v>16</v>
      </c>
      <c r="F678">
        <v>73</v>
      </c>
      <c r="G678">
        <v>78</v>
      </c>
      <c r="H678">
        <v>76</v>
      </c>
    </row>
    <row r="679" spans="1:8" x14ac:dyDescent="0.25">
      <c r="A679" t="s">
        <v>8</v>
      </c>
      <c r="B679" t="s">
        <v>14</v>
      </c>
      <c r="C679" t="s">
        <v>38</v>
      </c>
      <c r="D679" t="s">
        <v>11</v>
      </c>
      <c r="E679" t="s">
        <v>16</v>
      </c>
      <c r="F679">
        <v>70</v>
      </c>
      <c r="G679">
        <v>82</v>
      </c>
      <c r="H679">
        <v>76</v>
      </c>
    </row>
    <row r="680" spans="1:8" x14ac:dyDescent="0.25">
      <c r="A680" t="s">
        <v>19</v>
      </c>
      <c r="B680" t="s">
        <v>29</v>
      </c>
      <c r="C680" t="s">
        <v>21</v>
      </c>
      <c r="D680" t="s">
        <v>22</v>
      </c>
      <c r="E680" t="s">
        <v>12</v>
      </c>
      <c r="F680">
        <v>81</v>
      </c>
      <c r="G680">
        <v>75</v>
      </c>
      <c r="H680">
        <v>78</v>
      </c>
    </row>
    <row r="681" spans="1:8" x14ac:dyDescent="0.25">
      <c r="A681" t="s">
        <v>19</v>
      </c>
      <c r="B681" t="s">
        <v>29</v>
      </c>
      <c r="C681" t="s">
        <v>15</v>
      </c>
      <c r="D681" t="s">
        <v>22</v>
      </c>
      <c r="E681" t="s">
        <v>12</v>
      </c>
      <c r="F681">
        <v>63</v>
      </c>
      <c r="G681">
        <v>61</v>
      </c>
      <c r="H681">
        <v>60</v>
      </c>
    </row>
    <row r="682" spans="1:8" x14ac:dyDescent="0.25">
      <c r="A682" t="s">
        <v>8</v>
      </c>
      <c r="B682" t="s">
        <v>29</v>
      </c>
      <c r="C682" t="s">
        <v>30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25">
      <c r="A683" t="s">
        <v>19</v>
      </c>
      <c r="B683" t="s">
        <v>9</v>
      </c>
      <c r="C683" t="s">
        <v>30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25">
      <c r="A684" t="s">
        <v>19</v>
      </c>
      <c r="B684" t="s">
        <v>9</v>
      </c>
      <c r="C684" t="s">
        <v>30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25">
      <c r="A685" t="s">
        <v>8</v>
      </c>
      <c r="B685" t="s">
        <v>14</v>
      </c>
      <c r="C685" t="s">
        <v>38</v>
      </c>
      <c r="D685" t="s">
        <v>22</v>
      </c>
      <c r="E685" t="s">
        <v>16</v>
      </c>
      <c r="F685">
        <v>29</v>
      </c>
      <c r="G685">
        <v>40</v>
      </c>
      <c r="H685">
        <v>44</v>
      </c>
    </row>
    <row r="686" spans="1:8" x14ac:dyDescent="0.25">
      <c r="A686" t="s">
        <v>19</v>
      </c>
      <c r="B686" t="s">
        <v>9</v>
      </c>
      <c r="C686" t="s">
        <v>15</v>
      </c>
      <c r="D686" t="s">
        <v>11</v>
      </c>
      <c r="E686" t="s">
        <v>16</v>
      </c>
      <c r="F686">
        <v>62</v>
      </c>
      <c r="G686">
        <v>66</v>
      </c>
      <c r="H686">
        <v>68</v>
      </c>
    </row>
    <row r="687" spans="1:8" x14ac:dyDescent="0.25">
      <c r="A687" t="s">
        <v>8</v>
      </c>
      <c r="B687" t="s">
        <v>39</v>
      </c>
      <c r="C687" t="s">
        <v>18</v>
      </c>
      <c r="D687" t="s">
        <v>11</v>
      </c>
      <c r="E687" t="s">
        <v>16</v>
      </c>
      <c r="F687">
        <v>94</v>
      </c>
      <c r="G687">
        <v>99</v>
      </c>
      <c r="H687">
        <v>100</v>
      </c>
    </row>
    <row r="688" spans="1:8" x14ac:dyDescent="0.25">
      <c r="A688" t="s">
        <v>19</v>
      </c>
      <c r="B688" t="s">
        <v>39</v>
      </c>
      <c r="C688" t="s">
        <v>15</v>
      </c>
      <c r="D688" t="s">
        <v>11</v>
      </c>
      <c r="E688" t="s">
        <v>16</v>
      </c>
      <c r="F688">
        <v>85</v>
      </c>
      <c r="G688">
        <v>75</v>
      </c>
      <c r="H688">
        <v>68</v>
      </c>
    </row>
    <row r="689" spans="1:8" x14ac:dyDescent="0.25">
      <c r="A689" t="s">
        <v>19</v>
      </c>
      <c r="B689" t="s">
        <v>29</v>
      </c>
      <c r="C689" t="s">
        <v>21</v>
      </c>
      <c r="D689" t="s">
        <v>22</v>
      </c>
      <c r="E689" t="s">
        <v>12</v>
      </c>
      <c r="F689">
        <v>77</v>
      </c>
      <c r="G689">
        <v>78</v>
      </c>
      <c r="H689">
        <v>73</v>
      </c>
    </row>
    <row r="690" spans="1:8" x14ac:dyDescent="0.25">
      <c r="A690" t="s">
        <v>19</v>
      </c>
      <c r="B690" t="s">
        <v>20</v>
      </c>
      <c r="C690" t="s">
        <v>30</v>
      </c>
      <c r="D690" t="s">
        <v>22</v>
      </c>
      <c r="E690" t="s">
        <v>12</v>
      </c>
      <c r="F690">
        <v>53</v>
      </c>
      <c r="G690">
        <v>58</v>
      </c>
      <c r="H690">
        <v>44</v>
      </c>
    </row>
    <row r="691" spans="1:8" x14ac:dyDescent="0.25">
      <c r="A691" t="s">
        <v>19</v>
      </c>
      <c r="B691" t="s">
        <v>39</v>
      </c>
      <c r="C691" t="s">
        <v>15</v>
      </c>
      <c r="D691" t="s">
        <v>22</v>
      </c>
      <c r="E691" t="s">
        <v>12</v>
      </c>
      <c r="F691">
        <v>93</v>
      </c>
      <c r="G691">
        <v>90</v>
      </c>
      <c r="H691">
        <v>83</v>
      </c>
    </row>
    <row r="692" spans="1:8" x14ac:dyDescent="0.25">
      <c r="A692" t="s">
        <v>8</v>
      </c>
      <c r="B692" t="s">
        <v>14</v>
      </c>
      <c r="C692" t="s">
        <v>21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25">
      <c r="A693" t="s">
        <v>8</v>
      </c>
      <c r="B693" t="s">
        <v>39</v>
      </c>
      <c r="C693" t="s">
        <v>21</v>
      </c>
      <c r="D693" t="s">
        <v>22</v>
      </c>
      <c r="E693" t="s">
        <v>12</v>
      </c>
      <c r="F693">
        <v>73</v>
      </c>
      <c r="G693">
        <v>76</v>
      </c>
      <c r="H693">
        <v>78</v>
      </c>
    </row>
    <row r="694" spans="1:8" x14ac:dyDescent="0.25">
      <c r="A694" t="s">
        <v>8</v>
      </c>
      <c r="B694" t="s">
        <v>14</v>
      </c>
      <c r="C694" t="s">
        <v>10</v>
      </c>
      <c r="D694" t="s">
        <v>22</v>
      </c>
      <c r="E694" t="s">
        <v>16</v>
      </c>
      <c r="F694">
        <v>66</v>
      </c>
      <c r="G694">
        <v>74</v>
      </c>
      <c r="H694">
        <v>81</v>
      </c>
    </row>
    <row r="695" spans="1:8" x14ac:dyDescent="0.25">
      <c r="A695" t="s">
        <v>8</v>
      </c>
      <c r="B695" t="s">
        <v>29</v>
      </c>
      <c r="C695" t="s">
        <v>21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25">
      <c r="A696" t="s">
        <v>8</v>
      </c>
      <c r="B696" t="s">
        <v>14</v>
      </c>
      <c r="C696" t="s">
        <v>38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25">
      <c r="A697" t="s">
        <v>8</v>
      </c>
      <c r="B697" t="s">
        <v>29</v>
      </c>
      <c r="C697" t="s">
        <v>15</v>
      </c>
      <c r="D697" t="s">
        <v>22</v>
      </c>
      <c r="E697" t="s">
        <v>12</v>
      </c>
      <c r="F697">
        <v>79</v>
      </c>
      <c r="G697">
        <v>89</v>
      </c>
      <c r="H697">
        <v>86</v>
      </c>
    </row>
    <row r="698" spans="1:8" x14ac:dyDescent="0.25">
      <c r="A698" t="s">
        <v>8</v>
      </c>
      <c r="B698" t="s">
        <v>14</v>
      </c>
      <c r="C698" t="s">
        <v>21</v>
      </c>
      <c r="D698" t="s">
        <v>11</v>
      </c>
      <c r="E698" t="s">
        <v>16</v>
      </c>
      <c r="F698">
        <v>75</v>
      </c>
      <c r="G698">
        <v>82</v>
      </c>
      <c r="H698">
        <v>90</v>
      </c>
    </row>
    <row r="699" spans="1:8" x14ac:dyDescent="0.25">
      <c r="A699" t="s">
        <v>8</v>
      </c>
      <c r="B699" t="s">
        <v>20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25">
      <c r="A700" t="s">
        <v>8</v>
      </c>
      <c r="B700" t="s">
        <v>29</v>
      </c>
      <c r="C700" t="s">
        <v>21</v>
      </c>
      <c r="D700" t="s">
        <v>11</v>
      </c>
      <c r="E700" t="s">
        <v>16</v>
      </c>
      <c r="F700">
        <v>57</v>
      </c>
      <c r="G700">
        <v>78</v>
      </c>
      <c r="H700">
        <v>79</v>
      </c>
    </row>
    <row r="701" spans="1:8" x14ac:dyDescent="0.25">
      <c r="A701" t="s">
        <v>19</v>
      </c>
      <c r="B701" t="s">
        <v>14</v>
      </c>
      <c r="C701" t="s">
        <v>30</v>
      </c>
      <c r="D701" t="s">
        <v>22</v>
      </c>
      <c r="E701" t="s">
        <v>12</v>
      </c>
      <c r="F701">
        <v>66</v>
      </c>
      <c r="G701">
        <v>66</v>
      </c>
      <c r="H701">
        <v>59</v>
      </c>
    </row>
    <row r="702" spans="1:8" x14ac:dyDescent="0.25">
      <c r="A702" t="s">
        <v>8</v>
      </c>
      <c r="B702" t="s">
        <v>39</v>
      </c>
      <c r="C702" t="s">
        <v>10</v>
      </c>
      <c r="D702" t="s">
        <v>11</v>
      </c>
      <c r="E702" t="s">
        <v>16</v>
      </c>
      <c r="F702">
        <v>79</v>
      </c>
      <c r="G702">
        <v>81</v>
      </c>
      <c r="H702">
        <v>82</v>
      </c>
    </row>
    <row r="703" spans="1:8" x14ac:dyDescent="0.25">
      <c r="A703" t="s">
        <v>8</v>
      </c>
      <c r="B703" t="s">
        <v>9</v>
      </c>
      <c r="C703" t="s">
        <v>38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25">
      <c r="A704" t="s">
        <v>19</v>
      </c>
      <c r="B704" t="s">
        <v>20</v>
      </c>
      <c r="C704" t="s">
        <v>10</v>
      </c>
      <c r="D704" t="s">
        <v>11</v>
      </c>
      <c r="E704" t="s">
        <v>16</v>
      </c>
      <c r="F704">
        <v>87</v>
      </c>
      <c r="G704">
        <v>84</v>
      </c>
      <c r="H704">
        <v>87</v>
      </c>
    </row>
    <row r="705" spans="1:8" x14ac:dyDescent="0.25">
      <c r="A705" t="s">
        <v>8</v>
      </c>
      <c r="B705" t="s">
        <v>29</v>
      </c>
      <c r="C705" t="s">
        <v>15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25">
      <c r="A706" t="s">
        <v>8</v>
      </c>
      <c r="B706" t="s">
        <v>9</v>
      </c>
      <c r="C706" t="s">
        <v>38</v>
      </c>
      <c r="D706" t="s">
        <v>22</v>
      </c>
      <c r="E706" t="s">
        <v>16</v>
      </c>
      <c r="F706">
        <v>59</v>
      </c>
      <c r="G706">
        <v>63</v>
      </c>
      <c r="H706">
        <v>64</v>
      </c>
    </row>
    <row r="707" spans="1:8" x14ac:dyDescent="0.25">
      <c r="A707" t="s">
        <v>19</v>
      </c>
      <c r="B707" t="s">
        <v>20</v>
      </c>
      <c r="C707" t="s">
        <v>10</v>
      </c>
      <c r="D707" t="s">
        <v>22</v>
      </c>
      <c r="E707" t="s">
        <v>12</v>
      </c>
      <c r="F707">
        <v>62</v>
      </c>
      <c r="G707">
        <v>72</v>
      </c>
      <c r="H707">
        <v>65</v>
      </c>
    </row>
    <row r="708" spans="1:8" x14ac:dyDescent="0.25">
      <c r="A708" t="s">
        <v>19</v>
      </c>
      <c r="B708" t="s">
        <v>29</v>
      </c>
      <c r="C708" t="s">
        <v>30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25">
      <c r="A709" t="s">
        <v>19</v>
      </c>
      <c r="B709" t="s">
        <v>14</v>
      </c>
      <c r="C709" t="s">
        <v>15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25">
      <c r="A710" t="s">
        <v>19</v>
      </c>
      <c r="B710" t="s">
        <v>29</v>
      </c>
      <c r="C710" t="s">
        <v>30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25">
      <c r="A711" t="s">
        <v>8</v>
      </c>
      <c r="B711" t="s">
        <v>29</v>
      </c>
      <c r="C711" t="s">
        <v>21</v>
      </c>
      <c r="D711" t="s">
        <v>22</v>
      </c>
      <c r="E711" t="s">
        <v>16</v>
      </c>
      <c r="F711">
        <v>42</v>
      </c>
      <c r="G711">
        <v>61</v>
      </c>
      <c r="H711">
        <v>58</v>
      </c>
    </row>
    <row r="712" spans="1:8" x14ac:dyDescent="0.25">
      <c r="A712" t="s">
        <v>19</v>
      </c>
      <c r="B712" t="s">
        <v>14</v>
      </c>
      <c r="C712" t="s">
        <v>15</v>
      </c>
      <c r="D712" t="s">
        <v>11</v>
      </c>
      <c r="E712" t="s">
        <v>16</v>
      </c>
      <c r="F712">
        <v>93</v>
      </c>
      <c r="G712">
        <v>84</v>
      </c>
      <c r="H712">
        <v>90</v>
      </c>
    </row>
    <row r="713" spans="1:8" x14ac:dyDescent="0.25">
      <c r="A713" t="s">
        <v>8</v>
      </c>
      <c r="B713" t="s">
        <v>39</v>
      </c>
      <c r="C713" t="s">
        <v>38</v>
      </c>
      <c r="D713" t="s">
        <v>11</v>
      </c>
      <c r="E713" t="s">
        <v>16</v>
      </c>
      <c r="F713">
        <v>80</v>
      </c>
      <c r="G713">
        <v>85</v>
      </c>
      <c r="H713">
        <v>85</v>
      </c>
    </row>
    <row r="714" spans="1:8" x14ac:dyDescent="0.25">
      <c r="A714" t="s">
        <v>8</v>
      </c>
      <c r="B714" t="s">
        <v>29</v>
      </c>
      <c r="C714" t="s">
        <v>15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25">
      <c r="A715" t="s">
        <v>19</v>
      </c>
      <c r="B715" t="s">
        <v>29</v>
      </c>
      <c r="C715" t="s">
        <v>18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25">
      <c r="A716" t="s">
        <v>8</v>
      </c>
      <c r="B716" t="s">
        <v>9</v>
      </c>
      <c r="C716" t="s">
        <v>38</v>
      </c>
      <c r="D716" t="s">
        <v>11</v>
      </c>
      <c r="E716" t="s">
        <v>16</v>
      </c>
      <c r="F716">
        <v>60</v>
      </c>
      <c r="G716">
        <v>70</v>
      </c>
      <c r="H716">
        <v>74</v>
      </c>
    </row>
    <row r="717" spans="1:8" x14ac:dyDescent="0.25">
      <c r="A717" t="s">
        <v>8</v>
      </c>
      <c r="B717" t="s">
        <v>9</v>
      </c>
      <c r="C717" t="s">
        <v>21</v>
      </c>
      <c r="D717" t="s">
        <v>22</v>
      </c>
      <c r="E717" t="s">
        <v>16</v>
      </c>
      <c r="F717">
        <v>76</v>
      </c>
      <c r="G717">
        <v>94</v>
      </c>
      <c r="H717">
        <v>87</v>
      </c>
    </row>
    <row r="718" spans="1:8" x14ac:dyDescent="0.25">
      <c r="A718" t="s">
        <v>19</v>
      </c>
      <c r="B718" t="s">
        <v>14</v>
      </c>
      <c r="C718" t="s">
        <v>21</v>
      </c>
      <c r="D718" t="s">
        <v>11</v>
      </c>
      <c r="E718" t="s">
        <v>16</v>
      </c>
      <c r="F718">
        <v>73</v>
      </c>
      <c r="G718">
        <v>78</v>
      </c>
      <c r="H718">
        <v>72</v>
      </c>
    </row>
    <row r="719" spans="1:8" x14ac:dyDescent="0.25">
      <c r="A719" t="s">
        <v>8</v>
      </c>
      <c r="B719" t="s">
        <v>14</v>
      </c>
      <c r="C719" t="s">
        <v>21</v>
      </c>
      <c r="D719" t="s">
        <v>11</v>
      </c>
      <c r="E719" t="s">
        <v>16</v>
      </c>
      <c r="F719">
        <v>96</v>
      </c>
      <c r="G719">
        <v>96</v>
      </c>
      <c r="H719">
        <v>99</v>
      </c>
    </row>
    <row r="720" spans="1:8" x14ac:dyDescent="0.25">
      <c r="A720" t="s">
        <v>8</v>
      </c>
      <c r="B720" t="s">
        <v>14</v>
      </c>
      <c r="C720" t="s">
        <v>30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25">
      <c r="A721" t="s">
        <v>19</v>
      </c>
      <c r="B721" t="s">
        <v>39</v>
      </c>
      <c r="C721" t="s">
        <v>21</v>
      </c>
      <c r="D721" t="s">
        <v>22</v>
      </c>
      <c r="E721" t="s">
        <v>16</v>
      </c>
      <c r="F721">
        <v>91</v>
      </c>
      <c r="G721">
        <v>73</v>
      </c>
      <c r="H721">
        <v>80</v>
      </c>
    </row>
    <row r="722" spans="1:8" x14ac:dyDescent="0.25">
      <c r="A722" t="s">
        <v>8</v>
      </c>
      <c r="B722" t="s">
        <v>14</v>
      </c>
      <c r="C722" t="s">
        <v>15</v>
      </c>
      <c r="D722" t="s">
        <v>22</v>
      </c>
      <c r="E722" t="s">
        <v>12</v>
      </c>
      <c r="F722">
        <v>62</v>
      </c>
      <c r="G722">
        <v>72</v>
      </c>
      <c r="H722">
        <v>70</v>
      </c>
    </row>
    <row r="723" spans="1:8" x14ac:dyDescent="0.25">
      <c r="A723" t="s">
        <v>19</v>
      </c>
      <c r="B723" t="s">
        <v>29</v>
      </c>
      <c r="C723" t="s">
        <v>38</v>
      </c>
      <c r="D723" t="s">
        <v>22</v>
      </c>
      <c r="E723" t="s">
        <v>16</v>
      </c>
      <c r="F723">
        <v>55</v>
      </c>
      <c r="G723">
        <v>59</v>
      </c>
      <c r="H723">
        <v>59</v>
      </c>
    </row>
    <row r="724" spans="1:8" x14ac:dyDescent="0.25">
      <c r="A724" t="s">
        <v>8</v>
      </c>
      <c r="B724" t="s">
        <v>9</v>
      </c>
      <c r="C724" t="s">
        <v>38</v>
      </c>
      <c r="D724" t="s">
        <v>22</v>
      </c>
      <c r="E724" t="s">
        <v>16</v>
      </c>
      <c r="F724">
        <v>74</v>
      </c>
      <c r="G724">
        <v>90</v>
      </c>
      <c r="H724">
        <v>88</v>
      </c>
    </row>
    <row r="725" spans="1:8" x14ac:dyDescent="0.25">
      <c r="A725" t="s">
        <v>19</v>
      </c>
      <c r="B725" t="s">
        <v>14</v>
      </c>
      <c r="C725" t="s">
        <v>30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25">
      <c r="A726" t="s">
        <v>19</v>
      </c>
      <c r="B726" t="s">
        <v>9</v>
      </c>
      <c r="C726" t="s">
        <v>15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25">
      <c r="A727" t="s">
        <v>19</v>
      </c>
      <c r="B727" t="s">
        <v>39</v>
      </c>
      <c r="C727" t="s">
        <v>15</v>
      </c>
      <c r="D727" t="s">
        <v>11</v>
      </c>
      <c r="E727" t="s">
        <v>16</v>
      </c>
      <c r="F727">
        <v>81</v>
      </c>
      <c r="G727">
        <v>74</v>
      </c>
      <c r="H727">
        <v>71</v>
      </c>
    </row>
    <row r="728" spans="1:8" x14ac:dyDescent="0.25">
      <c r="A728" t="s">
        <v>8</v>
      </c>
      <c r="B728" t="s">
        <v>39</v>
      </c>
      <c r="C728" t="s">
        <v>21</v>
      </c>
      <c r="D728" t="s">
        <v>11</v>
      </c>
      <c r="E728" t="s">
        <v>16</v>
      </c>
      <c r="F728">
        <v>65</v>
      </c>
      <c r="G728">
        <v>75</v>
      </c>
      <c r="H728">
        <v>77</v>
      </c>
    </row>
    <row r="729" spans="1:8" x14ac:dyDescent="0.25">
      <c r="A729" t="s">
        <v>19</v>
      </c>
      <c r="B729" t="s">
        <v>39</v>
      </c>
      <c r="C729" t="s">
        <v>38</v>
      </c>
      <c r="D729" t="s">
        <v>11</v>
      </c>
      <c r="E729" t="s">
        <v>16</v>
      </c>
      <c r="F729">
        <v>68</v>
      </c>
      <c r="G729">
        <v>51</v>
      </c>
      <c r="H729">
        <v>57</v>
      </c>
    </row>
    <row r="730" spans="1:8" x14ac:dyDescent="0.25">
      <c r="A730" t="s">
        <v>8</v>
      </c>
      <c r="B730" t="s">
        <v>29</v>
      </c>
      <c r="C730" t="s">
        <v>30</v>
      </c>
      <c r="D730" t="s">
        <v>22</v>
      </c>
      <c r="E730" t="s">
        <v>12</v>
      </c>
      <c r="F730">
        <v>73</v>
      </c>
      <c r="G730">
        <v>92</v>
      </c>
      <c r="H730">
        <v>84</v>
      </c>
    </row>
    <row r="731" spans="1:8" x14ac:dyDescent="0.25">
      <c r="A731" t="s">
        <v>19</v>
      </c>
      <c r="B731" t="s">
        <v>14</v>
      </c>
      <c r="C731" t="s">
        <v>15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25">
      <c r="A732" t="s">
        <v>8</v>
      </c>
      <c r="B732" t="s">
        <v>9</v>
      </c>
      <c r="C732" t="s">
        <v>21</v>
      </c>
      <c r="D732" t="s">
        <v>22</v>
      </c>
      <c r="E732" t="s">
        <v>16</v>
      </c>
      <c r="F732">
        <v>68</v>
      </c>
      <c r="G732">
        <v>77</v>
      </c>
      <c r="H732">
        <v>80</v>
      </c>
    </row>
    <row r="733" spans="1:8" x14ac:dyDescent="0.25">
      <c r="A733" t="s">
        <v>19</v>
      </c>
      <c r="B733" t="s">
        <v>20</v>
      </c>
      <c r="C733" t="s">
        <v>38</v>
      </c>
      <c r="D733" t="s">
        <v>22</v>
      </c>
      <c r="E733" t="s">
        <v>12</v>
      </c>
      <c r="F733">
        <v>55</v>
      </c>
      <c r="G733">
        <v>46</v>
      </c>
      <c r="H733">
        <v>43</v>
      </c>
    </row>
    <row r="734" spans="1:8" x14ac:dyDescent="0.25">
      <c r="A734" t="s">
        <v>8</v>
      </c>
      <c r="B734" t="s">
        <v>14</v>
      </c>
      <c r="C734" t="s">
        <v>15</v>
      </c>
      <c r="D734" t="s">
        <v>11</v>
      </c>
      <c r="E734" t="s">
        <v>16</v>
      </c>
      <c r="F734">
        <v>87</v>
      </c>
      <c r="G734">
        <v>89</v>
      </c>
      <c r="H734">
        <v>94</v>
      </c>
    </row>
    <row r="735" spans="1:8" x14ac:dyDescent="0.25">
      <c r="A735" t="s">
        <v>19</v>
      </c>
      <c r="B735" t="s">
        <v>29</v>
      </c>
      <c r="C735" t="s">
        <v>38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25">
      <c r="A736" t="s">
        <v>8</v>
      </c>
      <c r="B736" t="s">
        <v>39</v>
      </c>
      <c r="C736" t="s">
        <v>15</v>
      </c>
      <c r="D736" t="s">
        <v>22</v>
      </c>
      <c r="E736" t="s">
        <v>12</v>
      </c>
      <c r="F736">
        <v>53</v>
      </c>
      <c r="G736">
        <v>58</v>
      </c>
      <c r="H736">
        <v>57</v>
      </c>
    </row>
    <row r="737" spans="1:8" x14ac:dyDescent="0.25">
      <c r="A737" t="s">
        <v>19</v>
      </c>
      <c r="B737" t="s">
        <v>14</v>
      </c>
      <c r="C737" t="s">
        <v>18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25">
      <c r="A738" t="s">
        <v>19</v>
      </c>
      <c r="B738" t="s">
        <v>14</v>
      </c>
      <c r="C738" t="s">
        <v>21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25">
      <c r="A739" t="s">
        <v>8</v>
      </c>
      <c r="B739" t="s">
        <v>9</v>
      </c>
      <c r="C739" t="s">
        <v>15</v>
      </c>
      <c r="D739" t="s">
        <v>22</v>
      </c>
      <c r="E739" t="s">
        <v>16</v>
      </c>
      <c r="F739">
        <v>53</v>
      </c>
      <c r="G739">
        <v>66</v>
      </c>
      <c r="H739">
        <v>73</v>
      </c>
    </row>
    <row r="740" spans="1:8" x14ac:dyDescent="0.25">
      <c r="A740" t="s">
        <v>19</v>
      </c>
      <c r="B740" t="s">
        <v>29</v>
      </c>
      <c r="C740" t="s">
        <v>21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25">
      <c r="A741" t="s">
        <v>19</v>
      </c>
      <c r="B741" t="s">
        <v>14</v>
      </c>
      <c r="C741" t="s">
        <v>30</v>
      </c>
      <c r="D741" t="s">
        <v>22</v>
      </c>
      <c r="E741" t="s">
        <v>12</v>
      </c>
      <c r="F741">
        <v>61</v>
      </c>
      <c r="G741">
        <v>60</v>
      </c>
      <c r="H741">
        <v>55</v>
      </c>
    </row>
    <row r="742" spans="1:8" x14ac:dyDescent="0.25">
      <c r="A742" t="s">
        <v>19</v>
      </c>
      <c r="B742" t="s">
        <v>29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25">
      <c r="A743" t="s">
        <v>8</v>
      </c>
      <c r="B743" t="s">
        <v>20</v>
      </c>
      <c r="C743" t="s">
        <v>21</v>
      </c>
      <c r="D743" t="s">
        <v>22</v>
      </c>
      <c r="E743" t="s">
        <v>12</v>
      </c>
      <c r="F743">
        <v>37</v>
      </c>
      <c r="G743">
        <v>57</v>
      </c>
      <c r="H743">
        <v>56</v>
      </c>
    </row>
    <row r="744" spans="1:8" x14ac:dyDescent="0.25">
      <c r="A744" t="s">
        <v>8</v>
      </c>
      <c r="B744" t="s">
        <v>14</v>
      </c>
      <c r="C744" t="s">
        <v>30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25">
      <c r="A745" t="s">
        <v>8</v>
      </c>
      <c r="B745" t="s">
        <v>14</v>
      </c>
      <c r="C745" t="s">
        <v>21</v>
      </c>
      <c r="D745" t="s">
        <v>11</v>
      </c>
      <c r="E745" t="s">
        <v>16</v>
      </c>
      <c r="F745">
        <v>59</v>
      </c>
      <c r="G745">
        <v>73</v>
      </c>
      <c r="H745">
        <v>72</v>
      </c>
    </row>
    <row r="746" spans="1:8" x14ac:dyDescent="0.25">
      <c r="A746" t="s">
        <v>19</v>
      </c>
      <c r="B746" t="s">
        <v>9</v>
      </c>
      <c r="C746" t="s">
        <v>15</v>
      </c>
      <c r="D746" t="s">
        <v>22</v>
      </c>
      <c r="E746" t="s">
        <v>12</v>
      </c>
      <c r="F746">
        <v>55</v>
      </c>
      <c r="G746">
        <v>55</v>
      </c>
      <c r="H746">
        <v>47</v>
      </c>
    </row>
    <row r="747" spans="1:8" x14ac:dyDescent="0.25">
      <c r="A747" t="s">
        <v>19</v>
      </c>
      <c r="B747" t="s">
        <v>29</v>
      </c>
      <c r="C747" t="s">
        <v>21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25">
      <c r="A748" t="s">
        <v>19</v>
      </c>
      <c r="B748" t="s">
        <v>29</v>
      </c>
      <c r="C748" t="s">
        <v>30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25">
      <c r="A749" t="s">
        <v>19</v>
      </c>
      <c r="B749" t="s">
        <v>14</v>
      </c>
      <c r="C749" t="s">
        <v>15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25">
      <c r="A750" t="s">
        <v>8</v>
      </c>
      <c r="B750" t="s">
        <v>14</v>
      </c>
      <c r="C750" t="s">
        <v>10</v>
      </c>
      <c r="D750" t="s">
        <v>22</v>
      </c>
      <c r="E750" t="s">
        <v>12</v>
      </c>
      <c r="F750">
        <v>50</v>
      </c>
      <c r="G750">
        <v>60</v>
      </c>
      <c r="H750">
        <v>59</v>
      </c>
    </row>
    <row r="751" spans="1:8" x14ac:dyDescent="0.25">
      <c r="A751" t="s">
        <v>19</v>
      </c>
      <c r="B751" t="s">
        <v>9</v>
      </c>
      <c r="C751" t="s">
        <v>15</v>
      </c>
      <c r="D751" t="s">
        <v>11</v>
      </c>
      <c r="E751" t="s">
        <v>16</v>
      </c>
      <c r="F751">
        <v>87</v>
      </c>
      <c r="G751">
        <v>84</v>
      </c>
      <c r="H751">
        <v>86</v>
      </c>
    </row>
    <row r="752" spans="1:8" x14ac:dyDescent="0.25">
      <c r="A752" t="s">
        <v>19</v>
      </c>
      <c r="B752" t="s">
        <v>29</v>
      </c>
      <c r="C752" t="s">
        <v>38</v>
      </c>
      <c r="D752" t="s">
        <v>11</v>
      </c>
      <c r="E752" t="s">
        <v>16</v>
      </c>
      <c r="F752">
        <v>71</v>
      </c>
      <c r="G752">
        <v>69</v>
      </c>
      <c r="H752">
        <v>68</v>
      </c>
    </row>
    <row r="753" spans="1:8" x14ac:dyDescent="0.25">
      <c r="A753" t="s">
        <v>19</v>
      </c>
      <c r="B753" t="s">
        <v>39</v>
      </c>
      <c r="C753" t="s">
        <v>15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25">
      <c r="A754" t="s">
        <v>19</v>
      </c>
      <c r="B754" t="s">
        <v>14</v>
      </c>
      <c r="C754" t="s">
        <v>18</v>
      </c>
      <c r="D754" t="s">
        <v>22</v>
      </c>
      <c r="E754" t="s">
        <v>16</v>
      </c>
      <c r="F754">
        <v>79</v>
      </c>
      <c r="G754">
        <v>77</v>
      </c>
      <c r="H754">
        <v>75</v>
      </c>
    </row>
    <row r="755" spans="1:8" x14ac:dyDescent="0.25">
      <c r="A755" t="s">
        <v>8</v>
      </c>
      <c r="B755" t="s">
        <v>14</v>
      </c>
      <c r="C755" t="s">
        <v>38</v>
      </c>
      <c r="D755" t="s">
        <v>11</v>
      </c>
      <c r="E755" t="s">
        <v>16</v>
      </c>
      <c r="F755">
        <v>77</v>
      </c>
      <c r="G755">
        <v>90</v>
      </c>
      <c r="H755">
        <v>85</v>
      </c>
    </row>
    <row r="756" spans="1:8" x14ac:dyDescent="0.25">
      <c r="A756" t="s">
        <v>19</v>
      </c>
      <c r="B756" t="s">
        <v>14</v>
      </c>
      <c r="C756" t="s">
        <v>21</v>
      </c>
      <c r="D756" t="s">
        <v>22</v>
      </c>
      <c r="E756" t="s">
        <v>12</v>
      </c>
      <c r="F756">
        <v>58</v>
      </c>
      <c r="G756">
        <v>55</v>
      </c>
      <c r="H756">
        <v>53</v>
      </c>
    </row>
    <row r="757" spans="1:8" x14ac:dyDescent="0.25">
      <c r="A757" t="s">
        <v>8</v>
      </c>
      <c r="B757" t="s">
        <v>39</v>
      </c>
      <c r="C757" t="s">
        <v>21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25">
      <c r="A758" t="s">
        <v>19</v>
      </c>
      <c r="B758" t="s">
        <v>29</v>
      </c>
      <c r="C758" t="s">
        <v>15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25">
      <c r="A759" t="s">
        <v>19</v>
      </c>
      <c r="B759" t="s">
        <v>39</v>
      </c>
      <c r="C759" t="s">
        <v>10</v>
      </c>
      <c r="D759" t="s">
        <v>22</v>
      </c>
      <c r="E759" t="s">
        <v>16</v>
      </c>
      <c r="F759">
        <v>70</v>
      </c>
      <c r="G759">
        <v>68</v>
      </c>
      <c r="H759">
        <v>72</v>
      </c>
    </row>
    <row r="760" spans="1:8" x14ac:dyDescent="0.25">
      <c r="A760" t="s">
        <v>8</v>
      </c>
      <c r="B760" t="s">
        <v>29</v>
      </c>
      <c r="C760" t="s">
        <v>15</v>
      </c>
      <c r="D760" t="s">
        <v>22</v>
      </c>
      <c r="E760" t="s">
        <v>16</v>
      </c>
      <c r="F760">
        <v>52</v>
      </c>
      <c r="G760">
        <v>59</v>
      </c>
      <c r="H760">
        <v>65</v>
      </c>
    </row>
    <row r="761" spans="1:8" x14ac:dyDescent="0.25">
      <c r="A761" t="s">
        <v>19</v>
      </c>
      <c r="B761" t="s">
        <v>9</v>
      </c>
      <c r="C761" t="s">
        <v>15</v>
      </c>
      <c r="D761" t="s">
        <v>11</v>
      </c>
      <c r="E761" t="s">
        <v>16</v>
      </c>
      <c r="F761">
        <v>69</v>
      </c>
      <c r="G761">
        <v>77</v>
      </c>
      <c r="H761">
        <v>77</v>
      </c>
    </row>
    <row r="762" spans="1:8" x14ac:dyDescent="0.25">
      <c r="A762" t="s">
        <v>8</v>
      </c>
      <c r="B762" t="s">
        <v>14</v>
      </c>
      <c r="C762" t="s">
        <v>30</v>
      </c>
      <c r="D762" t="s">
        <v>22</v>
      </c>
      <c r="E762" t="s">
        <v>12</v>
      </c>
      <c r="F762">
        <v>53</v>
      </c>
      <c r="G762">
        <v>72</v>
      </c>
      <c r="H762">
        <v>64</v>
      </c>
    </row>
    <row r="763" spans="1:8" x14ac:dyDescent="0.25">
      <c r="A763" t="s">
        <v>8</v>
      </c>
      <c r="B763" t="s">
        <v>29</v>
      </c>
      <c r="C763" t="s">
        <v>38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25">
      <c r="A764" t="s">
        <v>19</v>
      </c>
      <c r="B764" t="s">
        <v>29</v>
      </c>
      <c r="C764" t="s">
        <v>38</v>
      </c>
      <c r="D764" t="s">
        <v>11</v>
      </c>
      <c r="E764" t="s">
        <v>16</v>
      </c>
      <c r="F764">
        <v>78</v>
      </c>
      <c r="G764">
        <v>81</v>
      </c>
      <c r="H764">
        <v>86</v>
      </c>
    </row>
    <row r="765" spans="1:8" x14ac:dyDescent="0.25">
      <c r="A765" t="s">
        <v>8</v>
      </c>
      <c r="B765" t="s">
        <v>9</v>
      </c>
      <c r="C765" t="s">
        <v>30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25">
      <c r="A766" t="s">
        <v>19</v>
      </c>
      <c r="B766" t="s">
        <v>29</v>
      </c>
      <c r="C766" t="s">
        <v>15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25">
      <c r="A767" t="s">
        <v>8</v>
      </c>
      <c r="B767" t="s">
        <v>9</v>
      </c>
      <c r="C767" t="s">
        <v>30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25">
      <c r="A768" t="s">
        <v>8</v>
      </c>
      <c r="B768" t="s">
        <v>14</v>
      </c>
      <c r="C768" t="s">
        <v>30</v>
      </c>
      <c r="D768" t="s">
        <v>11</v>
      </c>
      <c r="E768" t="s">
        <v>16</v>
      </c>
      <c r="F768">
        <v>58</v>
      </c>
      <c r="G768">
        <v>75</v>
      </c>
      <c r="H768">
        <v>77</v>
      </c>
    </row>
    <row r="769" spans="1:8" x14ac:dyDescent="0.25">
      <c r="A769" t="s">
        <v>19</v>
      </c>
      <c r="B769" t="s">
        <v>9</v>
      </c>
      <c r="C769" t="s">
        <v>30</v>
      </c>
      <c r="D769" t="s">
        <v>11</v>
      </c>
      <c r="E769" t="s">
        <v>16</v>
      </c>
      <c r="F769">
        <v>76</v>
      </c>
      <c r="G769">
        <v>62</v>
      </c>
      <c r="H769">
        <v>60</v>
      </c>
    </row>
    <row r="770" spans="1:8" x14ac:dyDescent="0.25">
      <c r="A770" t="s">
        <v>8</v>
      </c>
      <c r="B770" t="s">
        <v>29</v>
      </c>
      <c r="C770" t="s">
        <v>38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25">
      <c r="A771" t="s">
        <v>19</v>
      </c>
      <c r="B771" t="s">
        <v>20</v>
      </c>
      <c r="C771" t="s">
        <v>15</v>
      </c>
      <c r="D771" t="s">
        <v>22</v>
      </c>
      <c r="E771" t="s">
        <v>12</v>
      </c>
      <c r="F771">
        <v>58</v>
      </c>
      <c r="G771">
        <v>60</v>
      </c>
      <c r="H771">
        <v>57</v>
      </c>
    </row>
    <row r="772" spans="1:8" x14ac:dyDescent="0.25">
      <c r="A772" t="s">
        <v>19</v>
      </c>
      <c r="B772" t="s">
        <v>9</v>
      </c>
      <c r="C772" t="s">
        <v>30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25">
      <c r="A773" t="s">
        <v>19</v>
      </c>
      <c r="B773" t="s">
        <v>29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25">
      <c r="A774" t="s">
        <v>8</v>
      </c>
      <c r="B774" t="s">
        <v>9</v>
      </c>
      <c r="C774" t="s">
        <v>38</v>
      </c>
      <c r="D774" t="s">
        <v>22</v>
      </c>
      <c r="E774" t="s">
        <v>16</v>
      </c>
      <c r="F774">
        <v>52</v>
      </c>
      <c r="G774">
        <v>67</v>
      </c>
      <c r="H774">
        <v>72</v>
      </c>
    </row>
    <row r="775" spans="1:8" x14ac:dyDescent="0.25">
      <c r="A775" t="s">
        <v>8</v>
      </c>
      <c r="B775" t="s">
        <v>14</v>
      </c>
      <c r="C775" t="s">
        <v>10</v>
      </c>
      <c r="D775" t="s">
        <v>22</v>
      </c>
      <c r="E775" t="s">
        <v>12</v>
      </c>
      <c r="F775">
        <v>62</v>
      </c>
      <c r="G775">
        <v>78</v>
      </c>
      <c r="H775">
        <v>79</v>
      </c>
    </row>
    <row r="776" spans="1:8" x14ac:dyDescent="0.25">
      <c r="A776" t="s">
        <v>19</v>
      </c>
      <c r="B776" t="s">
        <v>9</v>
      </c>
      <c r="C776" t="s">
        <v>15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25">
      <c r="A777" t="s">
        <v>8</v>
      </c>
      <c r="B777" t="s">
        <v>9</v>
      </c>
      <c r="C777" t="s">
        <v>38</v>
      </c>
      <c r="D777" t="s">
        <v>22</v>
      </c>
      <c r="E777" t="s">
        <v>12</v>
      </c>
      <c r="F777">
        <v>49</v>
      </c>
      <c r="G777">
        <v>58</v>
      </c>
      <c r="H777">
        <v>55</v>
      </c>
    </row>
    <row r="778" spans="1:8" x14ac:dyDescent="0.25">
      <c r="A778" t="s">
        <v>8</v>
      </c>
      <c r="B778" t="s">
        <v>9</v>
      </c>
      <c r="C778" t="s">
        <v>30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25">
      <c r="A779" t="s">
        <v>8</v>
      </c>
      <c r="B779" t="s">
        <v>14</v>
      </c>
      <c r="C779" t="s">
        <v>15</v>
      </c>
      <c r="D779" t="s">
        <v>22</v>
      </c>
      <c r="E779" t="s">
        <v>12</v>
      </c>
      <c r="F779">
        <v>35</v>
      </c>
      <c r="G779">
        <v>44</v>
      </c>
      <c r="H779">
        <v>43</v>
      </c>
    </row>
    <row r="780" spans="1:8" x14ac:dyDescent="0.25">
      <c r="A780" t="s">
        <v>8</v>
      </c>
      <c r="B780" t="s">
        <v>20</v>
      </c>
      <c r="C780" t="s">
        <v>15</v>
      </c>
      <c r="D780" t="s">
        <v>11</v>
      </c>
      <c r="E780" t="s">
        <v>16</v>
      </c>
      <c r="F780">
        <v>72</v>
      </c>
      <c r="G780">
        <v>79</v>
      </c>
      <c r="H780">
        <v>82</v>
      </c>
    </row>
    <row r="781" spans="1:8" x14ac:dyDescent="0.25">
      <c r="A781" t="s">
        <v>19</v>
      </c>
      <c r="B781" t="s">
        <v>39</v>
      </c>
      <c r="C781" t="s">
        <v>21</v>
      </c>
      <c r="D781" t="s">
        <v>11</v>
      </c>
      <c r="E781" t="s">
        <v>16</v>
      </c>
      <c r="F781">
        <v>94</v>
      </c>
      <c r="G781">
        <v>85</v>
      </c>
      <c r="H781">
        <v>82</v>
      </c>
    </row>
    <row r="782" spans="1:8" x14ac:dyDescent="0.25">
      <c r="A782" t="s">
        <v>8</v>
      </c>
      <c r="B782" t="s">
        <v>29</v>
      </c>
      <c r="C782" t="s">
        <v>21</v>
      </c>
      <c r="D782" t="s">
        <v>22</v>
      </c>
      <c r="E782" t="s">
        <v>12</v>
      </c>
      <c r="F782">
        <v>46</v>
      </c>
      <c r="G782">
        <v>56</v>
      </c>
      <c r="H782">
        <v>57</v>
      </c>
    </row>
    <row r="783" spans="1:8" x14ac:dyDescent="0.25">
      <c r="A783" t="s">
        <v>8</v>
      </c>
      <c r="B783" t="s">
        <v>9</v>
      </c>
      <c r="C783" t="s">
        <v>18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25">
      <c r="A784" t="s">
        <v>8</v>
      </c>
      <c r="B784" t="s">
        <v>9</v>
      </c>
      <c r="C784" t="s">
        <v>30</v>
      </c>
      <c r="D784" t="s">
        <v>22</v>
      </c>
      <c r="E784" t="s">
        <v>16</v>
      </c>
      <c r="F784">
        <v>76</v>
      </c>
      <c r="G784">
        <v>85</v>
      </c>
      <c r="H784">
        <v>82</v>
      </c>
    </row>
    <row r="785" spans="1:8" x14ac:dyDescent="0.25">
      <c r="A785" t="s">
        <v>8</v>
      </c>
      <c r="B785" t="s">
        <v>14</v>
      </c>
      <c r="C785" t="s">
        <v>21</v>
      </c>
      <c r="D785" t="s">
        <v>11</v>
      </c>
      <c r="E785" t="s">
        <v>16</v>
      </c>
      <c r="F785">
        <v>52</v>
      </c>
      <c r="G785">
        <v>59</v>
      </c>
      <c r="H785">
        <v>62</v>
      </c>
    </row>
    <row r="786" spans="1:8" x14ac:dyDescent="0.25">
      <c r="A786" t="s">
        <v>19</v>
      </c>
      <c r="B786" t="s">
        <v>14</v>
      </c>
      <c r="C786" t="s">
        <v>10</v>
      </c>
      <c r="D786" t="s">
        <v>11</v>
      </c>
      <c r="E786" t="s">
        <v>16</v>
      </c>
      <c r="F786">
        <v>91</v>
      </c>
      <c r="G786">
        <v>81</v>
      </c>
      <c r="H786">
        <v>79</v>
      </c>
    </row>
    <row r="787" spans="1:8" x14ac:dyDescent="0.25">
      <c r="A787" t="s">
        <v>8</v>
      </c>
      <c r="B787" t="s">
        <v>9</v>
      </c>
      <c r="C787" t="s">
        <v>38</v>
      </c>
      <c r="D787" t="s">
        <v>11</v>
      </c>
      <c r="E787" t="s">
        <v>16</v>
      </c>
      <c r="F787">
        <v>32</v>
      </c>
      <c r="G787">
        <v>51</v>
      </c>
      <c r="H787">
        <v>44</v>
      </c>
    </row>
    <row r="788" spans="1:8" x14ac:dyDescent="0.25">
      <c r="A788" t="s">
        <v>8</v>
      </c>
      <c r="B788" t="s">
        <v>39</v>
      </c>
      <c r="C788" t="s">
        <v>38</v>
      </c>
      <c r="D788" t="s">
        <v>22</v>
      </c>
      <c r="E788" t="s">
        <v>12</v>
      </c>
      <c r="F788">
        <v>72</v>
      </c>
      <c r="G788">
        <v>79</v>
      </c>
      <c r="H788">
        <v>77</v>
      </c>
    </row>
    <row r="789" spans="1:8" x14ac:dyDescent="0.25">
      <c r="A789" t="s">
        <v>8</v>
      </c>
      <c r="B789" t="s">
        <v>9</v>
      </c>
      <c r="C789" t="s">
        <v>15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25">
      <c r="A790" t="s">
        <v>19</v>
      </c>
      <c r="B790" t="s">
        <v>14</v>
      </c>
      <c r="C790" t="s">
        <v>21</v>
      </c>
      <c r="D790" t="s">
        <v>22</v>
      </c>
      <c r="E790" t="s">
        <v>12</v>
      </c>
      <c r="F790">
        <v>68</v>
      </c>
      <c r="G790">
        <v>65</v>
      </c>
      <c r="H790">
        <v>61</v>
      </c>
    </row>
    <row r="791" spans="1:8" x14ac:dyDescent="0.25">
      <c r="A791" t="s">
        <v>8</v>
      </c>
      <c r="B791" t="s">
        <v>14</v>
      </c>
      <c r="C791" t="s">
        <v>18</v>
      </c>
      <c r="D791" t="s">
        <v>22</v>
      </c>
      <c r="E791" t="s">
        <v>12</v>
      </c>
      <c r="F791">
        <v>52</v>
      </c>
      <c r="G791">
        <v>65</v>
      </c>
      <c r="H791">
        <v>61</v>
      </c>
    </row>
    <row r="792" spans="1:8" x14ac:dyDescent="0.25">
      <c r="A792" t="s">
        <v>8</v>
      </c>
      <c r="B792" t="s">
        <v>9</v>
      </c>
      <c r="C792" t="s">
        <v>30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25">
      <c r="A793" t="s">
        <v>8</v>
      </c>
      <c r="B793" t="s">
        <v>29</v>
      </c>
      <c r="C793" t="s">
        <v>15</v>
      </c>
      <c r="D793" t="s">
        <v>22</v>
      </c>
      <c r="E793" t="s">
        <v>12</v>
      </c>
      <c r="F793">
        <v>60</v>
      </c>
      <c r="G793">
        <v>66</v>
      </c>
      <c r="H793">
        <v>70</v>
      </c>
    </row>
    <row r="794" spans="1:8" x14ac:dyDescent="0.25">
      <c r="A794" t="s">
        <v>19</v>
      </c>
      <c r="B794" t="s">
        <v>29</v>
      </c>
      <c r="C794" t="s">
        <v>30</v>
      </c>
      <c r="D794" t="s">
        <v>22</v>
      </c>
      <c r="E794" t="s">
        <v>12</v>
      </c>
      <c r="F794">
        <v>66</v>
      </c>
      <c r="G794">
        <v>74</v>
      </c>
      <c r="H794">
        <v>69</v>
      </c>
    </row>
    <row r="795" spans="1:8" x14ac:dyDescent="0.25">
      <c r="A795" t="s">
        <v>19</v>
      </c>
      <c r="B795" t="s">
        <v>39</v>
      </c>
      <c r="C795" t="s">
        <v>38</v>
      </c>
      <c r="D795" t="s">
        <v>11</v>
      </c>
      <c r="E795" t="s">
        <v>16</v>
      </c>
      <c r="F795">
        <v>89</v>
      </c>
      <c r="G795">
        <v>84</v>
      </c>
      <c r="H795">
        <v>77</v>
      </c>
    </row>
    <row r="796" spans="1:8" x14ac:dyDescent="0.25">
      <c r="A796" t="s">
        <v>8</v>
      </c>
      <c r="B796" t="s">
        <v>9</v>
      </c>
      <c r="C796" t="s">
        <v>30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25">
      <c r="A797" t="s">
        <v>8</v>
      </c>
      <c r="B797" t="s">
        <v>39</v>
      </c>
      <c r="C797" t="s">
        <v>21</v>
      </c>
      <c r="D797" t="s">
        <v>22</v>
      </c>
      <c r="E797" t="s">
        <v>16</v>
      </c>
      <c r="F797">
        <v>57</v>
      </c>
      <c r="G797">
        <v>68</v>
      </c>
      <c r="H797">
        <v>73</v>
      </c>
    </row>
    <row r="798" spans="1:8" x14ac:dyDescent="0.25">
      <c r="A798" t="s">
        <v>19</v>
      </c>
      <c r="B798" t="s">
        <v>29</v>
      </c>
      <c r="C798" t="s">
        <v>30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25">
      <c r="A799" t="s">
        <v>8</v>
      </c>
      <c r="B799" t="s">
        <v>39</v>
      </c>
      <c r="C799" t="s">
        <v>21</v>
      </c>
      <c r="D799" t="s">
        <v>22</v>
      </c>
      <c r="E799" t="s">
        <v>12</v>
      </c>
      <c r="F799">
        <v>70</v>
      </c>
      <c r="G799">
        <v>84</v>
      </c>
      <c r="H799">
        <v>81</v>
      </c>
    </row>
    <row r="800" spans="1:8" x14ac:dyDescent="0.25">
      <c r="A800" t="s">
        <v>19</v>
      </c>
      <c r="B800" t="s">
        <v>39</v>
      </c>
      <c r="C800" t="s">
        <v>15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25">
      <c r="A801" t="s">
        <v>8</v>
      </c>
      <c r="B801" t="s">
        <v>14</v>
      </c>
      <c r="C801" t="s">
        <v>21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25">
      <c r="A802" t="s">
        <v>19</v>
      </c>
      <c r="B802" t="s">
        <v>14</v>
      </c>
      <c r="C802" t="s">
        <v>38</v>
      </c>
      <c r="D802" t="s">
        <v>11</v>
      </c>
      <c r="E802" t="s">
        <v>16</v>
      </c>
      <c r="F802">
        <v>67</v>
      </c>
      <c r="G802">
        <v>73</v>
      </c>
      <c r="H802">
        <v>68</v>
      </c>
    </row>
    <row r="803" spans="1:8" x14ac:dyDescent="0.25">
      <c r="A803" t="s">
        <v>19</v>
      </c>
      <c r="B803" t="s">
        <v>14</v>
      </c>
      <c r="C803" t="s">
        <v>38</v>
      </c>
      <c r="D803" t="s">
        <v>11</v>
      </c>
      <c r="E803" t="s">
        <v>16</v>
      </c>
      <c r="F803">
        <v>76</v>
      </c>
      <c r="G803">
        <v>80</v>
      </c>
      <c r="H803">
        <v>73</v>
      </c>
    </row>
    <row r="804" spans="1:8" x14ac:dyDescent="0.25">
      <c r="A804" t="s">
        <v>8</v>
      </c>
      <c r="B804" t="s">
        <v>39</v>
      </c>
      <c r="C804" t="s">
        <v>21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25">
      <c r="A805" t="s">
        <v>8</v>
      </c>
      <c r="B805" t="s">
        <v>9</v>
      </c>
      <c r="C805" t="s">
        <v>15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25">
      <c r="A806" t="s">
        <v>8</v>
      </c>
      <c r="B806" t="s">
        <v>14</v>
      </c>
      <c r="C806" t="s">
        <v>15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25">
      <c r="A807" t="s">
        <v>19</v>
      </c>
      <c r="B807" t="s">
        <v>20</v>
      </c>
      <c r="C807" t="s">
        <v>15</v>
      </c>
      <c r="D807" t="s">
        <v>22</v>
      </c>
      <c r="E807" t="s">
        <v>12</v>
      </c>
      <c r="F807">
        <v>75</v>
      </c>
      <c r="G807">
        <v>81</v>
      </c>
      <c r="H807">
        <v>74</v>
      </c>
    </row>
    <row r="808" spans="1:8" x14ac:dyDescent="0.25">
      <c r="A808" t="s">
        <v>8</v>
      </c>
      <c r="B808" t="s">
        <v>29</v>
      </c>
      <c r="C808" t="s">
        <v>15</v>
      </c>
      <c r="D808" t="s">
        <v>22</v>
      </c>
      <c r="E808" t="s">
        <v>12</v>
      </c>
      <c r="F808">
        <v>64</v>
      </c>
      <c r="G808">
        <v>74</v>
      </c>
      <c r="H808">
        <v>75</v>
      </c>
    </row>
    <row r="809" spans="1:8" x14ac:dyDescent="0.25">
      <c r="A809" t="s">
        <v>8</v>
      </c>
      <c r="B809" t="s">
        <v>39</v>
      </c>
      <c r="C809" t="s">
        <v>30</v>
      </c>
      <c r="D809" t="s">
        <v>22</v>
      </c>
      <c r="E809" t="s">
        <v>12</v>
      </c>
      <c r="F809">
        <v>41</v>
      </c>
      <c r="G809">
        <v>45</v>
      </c>
      <c r="H809">
        <v>40</v>
      </c>
    </row>
    <row r="810" spans="1:8" x14ac:dyDescent="0.25">
      <c r="A810" t="s">
        <v>19</v>
      </c>
      <c r="B810" t="s">
        <v>14</v>
      </c>
      <c r="C810" t="s">
        <v>30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25">
      <c r="A811" t="s">
        <v>19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25">
      <c r="A812" t="s">
        <v>19</v>
      </c>
      <c r="B812" t="s">
        <v>20</v>
      </c>
      <c r="C812" t="s">
        <v>38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25">
      <c r="A813" t="s">
        <v>19</v>
      </c>
      <c r="B813" t="s">
        <v>20</v>
      </c>
      <c r="C813" t="s">
        <v>30</v>
      </c>
      <c r="D813" t="s">
        <v>22</v>
      </c>
      <c r="E813" t="s">
        <v>12</v>
      </c>
      <c r="F813">
        <v>45</v>
      </c>
      <c r="G813">
        <v>47</v>
      </c>
      <c r="H813">
        <v>49</v>
      </c>
    </row>
    <row r="814" spans="1:8" x14ac:dyDescent="0.25">
      <c r="A814" t="s">
        <v>8</v>
      </c>
      <c r="B814" t="s">
        <v>14</v>
      </c>
      <c r="C814" t="s">
        <v>18</v>
      </c>
      <c r="D814" t="s">
        <v>11</v>
      </c>
      <c r="E814" t="s">
        <v>16</v>
      </c>
      <c r="F814">
        <v>54</v>
      </c>
      <c r="G814">
        <v>64</v>
      </c>
      <c r="H814">
        <v>67</v>
      </c>
    </row>
    <row r="815" spans="1:8" x14ac:dyDescent="0.25">
      <c r="A815" t="s">
        <v>19</v>
      </c>
      <c r="B815" t="s">
        <v>39</v>
      </c>
      <c r="C815" t="s">
        <v>38</v>
      </c>
      <c r="D815" t="s">
        <v>11</v>
      </c>
      <c r="E815" t="s">
        <v>16</v>
      </c>
      <c r="F815">
        <v>87</v>
      </c>
      <c r="G815">
        <v>84</v>
      </c>
      <c r="H815">
        <v>76</v>
      </c>
    </row>
    <row r="816" spans="1:8" x14ac:dyDescent="0.25">
      <c r="A816" t="s">
        <v>8</v>
      </c>
      <c r="B816" t="s">
        <v>14</v>
      </c>
      <c r="C816" t="s">
        <v>30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25">
      <c r="A817" t="s">
        <v>19</v>
      </c>
      <c r="B817" t="s">
        <v>9</v>
      </c>
      <c r="C817" t="s">
        <v>38</v>
      </c>
      <c r="D817" t="s">
        <v>11</v>
      </c>
      <c r="E817" t="s">
        <v>16</v>
      </c>
      <c r="F817">
        <v>94</v>
      </c>
      <c r="G817">
        <v>86</v>
      </c>
      <c r="H817">
        <v>87</v>
      </c>
    </row>
    <row r="818" spans="1:8" x14ac:dyDescent="0.25">
      <c r="A818" t="s">
        <v>8</v>
      </c>
      <c r="B818" t="s">
        <v>20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25">
      <c r="A819" t="s">
        <v>19</v>
      </c>
      <c r="B819" t="s">
        <v>29</v>
      </c>
      <c r="C819" t="s">
        <v>10</v>
      </c>
      <c r="D819" t="s">
        <v>22</v>
      </c>
      <c r="E819" t="s">
        <v>16</v>
      </c>
      <c r="F819">
        <v>61</v>
      </c>
      <c r="G819">
        <v>70</v>
      </c>
      <c r="H819">
        <v>76</v>
      </c>
    </row>
    <row r="820" spans="1:8" x14ac:dyDescent="0.25">
      <c r="A820" t="s">
        <v>8</v>
      </c>
      <c r="B820" t="s">
        <v>9</v>
      </c>
      <c r="C820" t="s">
        <v>30</v>
      </c>
      <c r="D820" t="s">
        <v>22</v>
      </c>
      <c r="E820" t="s">
        <v>12</v>
      </c>
      <c r="F820">
        <v>60</v>
      </c>
      <c r="G820">
        <v>72</v>
      </c>
      <c r="H820">
        <v>68</v>
      </c>
    </row>
    <row r="821" spans="1:8" x14ac:dyDescent="0.25">
      <c r="A821" t="s">
        <v>8</v>
      </c>
      <c r="B821" t="s">
        <v>14</v>
      </c>
      <c r="C821" t="s">
        <v>38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25">
      <c r="A822" t="s">
        <v>8</v>
      </c>
      <c r="B822" t="s">
        <v>20</v>
      </c>
      <c r="C822" t="s">
        <v>38</v>
      </c>
      <c r="D822" t="s">
        <v>11</v>
      </c>
      <c r="E822" t="s">
        <v>16</v>
      </c>
      <c r="F822">
        <v>85</v>
      </c>
      <c r="G822">
        <v>90</v>
      </c>
      <c r="H822">
        <v>92</v>
      </c>
    </row>
    <row r="823" spans="1:8" x14ac:dyDescent="0.25">
      <c r="A823" t="s">
        <v>8</v>
      </c>
      <c r="B823" t="s">
        <v>29</v>
      </c>
      <c r="C823" t="s">
        <v>10</v>
      </c>
      <c r="D823" t="s">
        <v>22</v>
      </c>
      <c r="E823" t="s">
        <v>12</v>
      </c>
      <c r="F823">
        <v>78</v>
      </c>
      <c r="G823">
        <v>90</v>
      </c>
      <c r="H823">
        <v>93</v>
      </c>
    </row>
    <row r="824" spans="1:8" x14ac:dyDescent="0.25">
      <c r="A824" t="s">
        <v>19</v>
      </c>
      <c r="B824" t="s">
        <v>39</v>
      </c>
      <c r="C824" t="s">
        <v>15</v>
      </c>
      <c r="D824" t="s">
        <v>22</v>
      </c>
      <c r="E824" t="s">
        <v>16</v>
      </c>
      <c r="F824">
        <v>49</v>
      </c>
      <c r="G824">
        <v>52</v>
      </c>
      <c r="H824">
        <v>51</v>
      </c>
    </row>
    <row r="825" spans="1:8" x14ac:dyDescent="0.25">
      <c r="A825" t="s">
        <v>8</v>
      </c>
      <c r="B825" t="s">
        <v>9</v>
      </c>
      <c r="C825" t="s">
        <v>30</v>
      </c>
      <c r="D825" t="s">
        <v>22</v>
      </c>
      <c r="E825" t="s">
        <v>12</v>
      </c>
      <c r="F825">
        <v>71</v>
      </c>
      <c r="G825">
        <v>87</v>
      </c>
      <c r="H825">
        <v>82</v>
      </c>
    </row>
    <row r="826" spans="1:8" x14ac:dyDescent="0.25">
      <c r="A826" t="s">
        <v>8</v>
      </c>
      <c r="B826" t="s">
        <v>14</v>
      </c>
      <c r="C826" t="s">
        <v>38</v>
      </c>
      <c r="D826" t="s">
        <v>22</v>
      </c>
      <c r="E826" t="s">
        <v>12</v>
      </c>
      <c r="F826">
        <v>48</v>
      </c>
      <c r="G826">
        <v>58</v>
      </c>
      <c r="H826">
        <v>52</v>
      </c>
    </row>
    <row r="827" spans="1:8" x14ac:dyDescent="0.25">
      <c r="A827" t="s">
        <v>19</v>
      </c>
      <c r="B827" t="s">
        <v>14</v>
      </c>
      <c r="C827" t="s">
        <v>30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25">
      <c r="A828" t="s">
        <v>8</v>
      </c>
      <c r="B828" t="s">
        <v>14</v>
      </c>
      <c r="C828" t="s">
        <v>21</v>
      </c>
      <c r="D828" t="s">
        <v>22</v>
      </c>
      <c r="E828" t="s">
        <v>16</v>
      </c>
      <c r="F828">
        <v>56</v>
      </c>
      <c r="G828">
        <v>68</v>
      </c>
      <c r="H828">
        <v>70</v>
      </c>
    </row>
    <row r="829" spans="1:8" x14ac:dyDescent="0.25">
      <c r="A829" t="s">
        <v>8</v>
      </c>
      <c r="B829" t="s">
        <v>14</v>
      </c>
      <c r="C829" t="s">
        <v>38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25">
      <c r="A830" t="s">
        <v>8</v>
      </c>
      <c r="B830" t="s">
        <v>29</v>
      </c>
      <c r="C830" t="s">
        <v>38</v>
      </c>
      <c r="D830" t="s">
        <v>22</v>
      </c>
      <c r="E830" t="s">
        <v>16</v>
      </c>
      <c r="F830">
        <v>69</v>
      </c>
      <c r="G830">
        <v>86</v>
      </c>
      <c r="H830">
        <v>81</v>
      </c>
    </row>
    <row r="831" spans="1:8" x14ac:dyDescent="0.25">
      <c r="A831" t="s">
        <v>19</v>
      </c>
      <c r="B831" t="s">
        <v>9</v>
      </c>
      <c r="C831" t="s">
        <v>38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25">
      <c r="A832" t="s">
        <v>8</v>
      </c>
      <c r="B832" t="s">
        <v>20</v>
      </c>
      <c r="C832" t="s">
        <v>15</v>
      </c>
      <c r="D832" t="s">
        <v>22</v>
      </c>
      <c r="E832" t="s">
        <v>12</v>
      </c>
      <c r="F832">
        <v>61</v>
      </c>
      <c r="G832">
        <v>60</v>
      </c>
      <c r="H832">
        <v>57</v>
      </c>
    </row>
    <row r="833" spans="1:8" x14ac:dyDescent="0.25">
      <c r="A833" t="s">
        <v>8</v>
      </c>
      <c r="B833" t="s">
        <v>14</v>
      </c>
      <c r="C833" t="s">
        <v>10</v>
      </c>
      <c r="D833" t="s">
        <v>22</v>
      </c>
      <c r="E833" t="s">
        <v>16</v>
      </c>
      <c r="F833">
        <v>74</v>
      </c>
      <c r="G833">
        <v>86</v>
      </c>
      <c r="H833">
        <v>89</v>
      </c>
    </row>
    <row r="834" spans="1:8" x14ac:dyDescent="0.25">
      <c r="A834" t="s">
        <v>19</v>
      </c>
      <c r="B834" t="s">
        <v>20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25">
      <c r="A835" t="s">
        <v>8</v>
      </c>
      <c r="B835" t="s">
        <v>9</v>
      </c>
      <c r="C835" t="s">
        <v>30</v>
      </c>
      <c r="D835" t="s">
        <v>11</v>
      </c>
      <c r="E835" t="s">
        <v>16</v>
      </c>
      <c r="F835">
        <v>77</v>
      </c>
      <c r="G835">
        <v>82</v>
      </c>
      <c r="H835">
        <v>89</v>
      </c>
    </row>
    <row r="836" spans="1:8" x14ac:dyDescent="0.25">
      <c r="A836" t="s">
        <v>19</v>
      </c>
      <c r="B836" t="s">
        <v>9</v>
      </c>
      <c r="C836" t="s">
        <v>15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25">
      <c r="A837" t="s">
        <v>8</v>
      </c>
      <c r="B837" t="s">
        <v>14</v>
      </c>
      <c r="C837" t="s">
        <v>30</v>
      </c>
      <c r="D837" t="s">
        <v>11</v>
      </c>
      <c r="E837" t="s">
        <v>16</v>
      </c>
      <c r="F837">
        <v>60</v>
      </c>
      <c r="G837">
        <v>64</v>
      </c>
      <c r="H837">
        <v>74</v>
      </c>
    </row>
    <row r="838" spans="1:8" x14ac:dyDescent="0.25">
      <c r="A838" t="s">
        <v>19</v>
      </c>
      <c r="B838" t="s">
        <v>39</v>
      </c>
      <c r="C838" t="s">
        <v>30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25">
      <c r="A839" t="s">
        <v>8</v>
      </c>
      <c r="B839" t="s">
        <v>20</v>
      </c>
      <c r="C839" t="s">
        <v>30</v>
      </c>
      <c r="D839" t="s">
        <v>11</v>
      </c>
      <c r="E839" t="s">
        <v>16</v>
      </c>
      <c r="F839">
        <v>75</v>
      </c>
      <c r="G839">
        <v>82</v>
      </c>
      <c r="H839">
        <v>79</v>
      </c>
    </row>
    <row r="840" spans="1:8" x14ac:dyDescent="0.25">
      <c r="A840" t="s">
        <v>19</v>
      </c>
      <c r="B840" t="s">
        <v>9</v>
      </c>
      <c r="C840" t="s">
        <v>21</v>
      </c>
      <c r="D840" t="s">
        <v>22</v>
      </c>
      <c r="E840" t="s">
        <v>16</v>
      </c>
      <c r="F840">
        <v>58</v>
      </c>
      <c r="G840">
        <v>57</v>
      </c>
      <c r="H840">
        <v>53</v>
      </c>
    </row>
    <row r="841" spans="1:8" x14ac:dyDescent="0.25">
      <c r="A841" t="s">
        <v>8</v>
      </c>
      <c r="B841" t="s">
        <v>14</v>
      </c>
      <c r="C841" t="s">
        <v>21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25">
      <c r="A842" t="s">
        <v>8</v>
      </c>
      <c r="B842" t="s">
        <v>29</v>
      </c>
      <c r="C842" t="s">
        <v>30</v>
      </c>
      <c r="D842" t="s">
        <v>22</v>
      </c>
      <c r="E842" t="s">
        <v>12</v>
      </c>
      <c r="F842">
        <v>39</v>
      </c>
      <c r="G842">
        <v>52</v>
      </c>
      <c r="H842">
        <v>46</v>
      </c>
    </row>
    <row r="843" spans="1:8" x14ac:dyDescent="0.25">
      <c r="A843" t="s">
        <v>19</v>
      </c>
      <c r="B843" t="s">
        <v>14</v>
      </c>
      <c r="C843" t="s">
        <v>38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25">
      <c r="A844" t="s">
        <v>8</v>
      </c>
      <c r="B844" t="s">
        <v>9</v>
      </c>
      <c r="C844" t="s">
        <v>30</v>
      </c>
      <c r="D844" t="s">
        <v>22</v>
      </c>
      <c r="E844" t="s">
        <v>16</v>
      </c>
      <c r="F844">
        <v>23</v>
      </c>
      <c r="G844">
        <v>44</v>
      </c>
      <c r="H844">
        <v>36</v>
      </c>
    </row>
    <row r="845" spans="1:8" x14ac:dyDescent="0.25">
      <c r="A845" t="s">
        <v>19</v>
      </c>
      <c r="B845" t="s">
        <v>9</v>
      </c>
      <c r="C845" t="s">
        <v>15</v>
      </c>
      <c r="D845" t="s">
        <v>22</v>
      </c>
      <c r="E845" t="s">
        <v>16</v>
      </c>
      <c r="F845">
        <v>74</v>
      </c>
      <c r="G845">
        <v>77</v>
      </c>
      <c r="H845">
        <v>76</v>
      </c>
    </row>
    <row r="846" spans="1:8" x14ac:dyDescent="0.25">
      <c r="A846" t="s">
        <v>8</v>
      </c>
      <c r="B846" t="s">
        <v>29</v>
      </c>
      <c r="C846" t="s">
        <v>38</v>
      </c>
      <c r="D846" t="s">
        <v>22</v>
      </c>
      <c r="E846" t="s">
        <v>16</v>
      </c>
      <c r="F846">
        <v>40</v>
      </c>
      <c r="G846">
        <v>65</v>
      </c>
      <c r="H846">
        <v>64</v>
      </c>
    </row>
    <row r="847" spans="1:8" x14ac:dyDescent="0.25">
      <c r="A847" t="s">
        <v>19</v>
      </c>
      <c r="B847" t="s">
        <v>39</v>
      </c>
      <c r="C847" t="s">
        <v>18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25">
      <c r="A848" t="s">
        <v>19</v>
      </c>
      <c r="B848" t="s">
        <v>14</v>
      </c>
      <c r="C848" t="s">
        <v>18</v>
      </c>
      <c r="D848" t="s">
        <v>11</v>
      </c>
      <c r="E848" t="s">
        <v>16</v>
      </c>
      <c r="F848">
        <v>91</v>
      </c>
      <c r="G848">
        <v>85</v>
      </c>
      <c r="H848">
        <v>85</v>
      </c>
    </row>
    <row r="849" spans="1:8" x14ac:dyDescent="0.25">
      <c r="A849" t="s">
        <v>19</v>
      </c>
      <c r="B849" t="s">
        <v>29</v>
      </c>
      <c r="C849" t="s">
        <v>30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25">
      <c r="A850" t="s">
        <v>8</v>
      </c>
      <c r="B850" t="s">
        <v>14</v>
      </c>
      <c r="C850" t="s">
        <v>30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25">
      <c r="A851" t="s">
        <v>19</v>
      </c>
      <c r="B851" t="s">
        <v>29</v>
      </c>
      <c r="C851" t="s">
        <v>21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25">
      <c r="A852" t="s">
        <v>19</v>
      </c>
      <c r="B852" t="s">
        <v>14</v>
      </c>
      <c r="C852" t="s">
        <v>18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25">
      <c r="A853" t="s">
        <v>8</v>
      </c>
      <c r="B853" t="s">
        <v>20</v>
      </c>
      <c r="C853" t="s">
        <v>30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25">
      <c r="A854" t="s">
        <v>8</v>
      </c>
      <c r="B854" t="s">
        <v>39</v>
      </c>
      <c r="C854" t="s">
        <v>15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25">
      <c r="A855" t="s">
        <v>19</v>
      </c>
      <c r="B855" t="s">
        <v>39</v>
      </c>
      <c r="C855" t="s">
        <v>38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25">
      <c r="A856" t="s">
        <v>19</v>
      </c>
      <c r="B856" t="s">
        <v>14</v>
      </c>
      <c r="C856" t="s">
        <v>38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25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25">
      <c r="A858" t="s">
        <v>19</v>
      </c>
      <c r="B858" t="s">
        <v>9</v>
      </c>
      <c r="C858" t="s">
        <v>15</v>
      </c>
      <c r="D858" t="s">
        <v>22</v>
      </c>
      <c r="E858" t="s">
        <v>12</v>
      </c>
      <c r="F858">
        <v>75</v>
      </c>
      <c r="G858">
        <v>68</v>
      </c>
      <c r="H858">
        <v>65</v>
      </c>
    </row>
    <row r="859" spans="1:8" x14ac:dyDescent="0.25">
      <c r="A859" t="s">
        <v>8</v>
      </c>
      <c r="B859" t="s">
        <v>14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25">
      <c r="A860" t="s">
        <v>19</v>
      </c>
      <c r="B860" t="s">
        <v>9</v>
      </c>
      <c r="C860" t="s">
        <v>30</v>
      </c>
      <c r="D860" t="s">
        <v>11</v>
      </c>
      <c r="E860" t="s">
        <v>16</v>
      </c>
      <c r="F860">
        <v>52</v>
      </c>
      <c r="G860">
        <v>49</v>
      </c>
      <c r="H860">
        <v>46</v>
      </c>
    </row>
    <row r="861" spans="1:8" x14ac:dyDescent="0.25">
      <c r="A861" t="s">
        <v>19</v>
      </c>
      <c r="B861" t="s">
        <v>14</v>
      </c>
      <c r="C861" t="s">
        <v>21</v>
      </c>
      <c r="D861" t="s">
        <v>22</v>
      </c>
      <c r="E861" t="s">
        <v>12</v>
      </c>
      <c r="F861">
        <v>87</v>
      </c>
      <c r="G861">
        <v>73</v>
      </c>
      <c r="H861">
        <v>72</v>
      </c>
    </row>
    <row r="862" spans="1:8" x14ac:dyDescent="0.25">
      <c r="A862" t="s">
        <v>8</v>
      </c>
      <c r="B862" t="s">
        <v>14</v>
      </c>
      <c r="C862" t="s">
        <v>21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25">
      <c r="A863" t="s">
        <v>8</v>
      </c>
      <c r="B863" t="s">
        <v>39</v>
      </c>
      <c r="C863" t="s">
        <v>18</v>
      </c>
      <c r="D863" t="s">
        <v>22</v>
      </c>
      <c r="E863" t="s">
        <v>12</v>
      </c>
      <c r="F863">
        <v>81</v>
      </c>
      <c r="G863">
        <v>86</v>
      </c>
      <c r="H863">
        <v>87</v>
      </c>
    </row>
    <row r="864" spans="1:8" x14ac:dyDescent="0.25">
      <c r="A864" t="s">
        <v>19</v>
      </c>
      <c r="B864" t="s">
        <v>29</v>
      </c>
      <c r="C864" t="s">
        <v>10</v>
      </c>
      <c r="D864" t="s">
        <v>22</v>
      </c>
      <c r="E864" t="s">
        <v>16</v>
      </c>
      <c r="F864">
        <v>39</v>
      </c>
      <c r="G864">
        <v>42</v>
      </c>
      <c r="H864">
        <v>38</v>
      </c>
    </row>
    <row r="865" spans="1:8" x14ac:dyDescent="0.25">
      <c r="A865" t="s">
        <v>8</v>
      </c>
      <c r="B865" t="s">
        <v>14</v>
      </c>
      <c r="C865" t="s">
        <v>15</v>
      </c>
      <c r="D865" t="s">
        <v>11</v>
      </c>
      <c r="E865" t="s">
        <v>16</v>
      </c>
      <c r="F865">
        <v>71</v>
      </c>
      <c r="G865">
        <v>71</v>
      </c>
      <c r="H865">
        <v>80</v>
      </c>
    </row>
    <row r="866" spans="1:8" x14ac:dyDescent="0.25">
      <c r="A866" t="s">
        <v>19</v>
      </c>
      <c r="B866" t="s">
        <v>14</v>
      </c>
      <c r="C866" t="s">
        <v>21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25">
      <c r="A867" t="s">
        <v>19</v>
      </c>
      <c r="B867" t="s">
        <v>29</v>
      </c>
      <c r="C867" t="s">
        <v>15</v>
      </c>
      <c r="D867" t="s">
        <v>11</v>
      </c>
      <c r="E867" t="s">
        <v>16</v>
      </c>
      <c r="F867">
        <v>82</v>
      </c>
      <c r="G867">
        <v>82</v>
      </c>
      <c r="H867">
        <v>88</v>
      </c>
    </row>
    <row r="868" spans="1:8" x14ac:dyDescent="0.25">
      <c r="A868" t="s">
        <v>19</v>
      </c>
      <c r="B868" t="s">
        <v>14</v>
      </c>
      <c r="C868" t="s">
        <v>30</v>
      </c>
      <c r="D868" t="s">
        <v>22</v>
      </c>
      <c r="E868" t="s">
        <v>12</v>
      </c>
      <c r="F868">
        <v>59</v>
      </c>
      <c r="G868">
        <v>53</v>
      </c>
      <c r="H868">
        <v>52</v>
      </c>
    </row>
    <row r="869" spans="1:8" x14ac:dyDescent="0.25">
      <c r="A869" t="s">
        <v>19</v>
      </c>
      <c r="B869" t="s">
        <v>9</v>
      </c>
      <c r="C869" t="s">
        <v>21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25">
      <c r="A870" t="s">
        <v>19</v>
      </c>
      <c r="B870" t="s">
        <v>39</v>
      </c>
      <c r="C870" t="s">
        <v>21</v>
      </c>
      <c r="D870" t="s">
        <v>22</v>
      </c>
      <c r="E870" t="s">
        <v>16</v>
      </c>
      <c r="F870">
        <v>78</v>
      </c>
      <c r="G870">
        <v>74</v>
      </c>
      <c r="H870">
        <v>72</v>
      </c>
    </row>
    <row r="871" spans="1:8" x14ac:dyDescent="0.25">
      <c r="A871" t="s">
        <v>19</v>
      </c>
      <c r="B871" t="s">
        <v>14</v>
      </c>
      <c r="C871" t="s">
        <v>21</v>
      </c>
      <c r="D871" t="s">
        <v>22</v>
      </c>
      <c r="E871" t="s">
        <v>12</v>
      </c>
      <c r="F871">
        <v>49</v>
      </c>
      <c r="G871">
        <v>51</v>
      </c>
      <c r="H871">
        <v>51</v>
      </c>
    </row>
    <row r="872" spans="1:8" x14ac:dyDescent="0.25">
      <c r="A872" t="s">
        <v>19</v>
      </c>
      <c r="B872" t="s">
        <v>9</v>
      </c>
      <c r="C872" t="s">
        <v>30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25">
      <c r="A873" t="s">
        <v>8</v>
      </c>
      <c r="B873" t="s">
        <v>14</v>
      </c>
      <c r="C873" t="s">
        <v>15</v>
      </c>
      <c r="D873" t="s">
        <v>11</v>
      </c>
      <c r="E873" t="s">
        <v>16</v>
      </c>
      <c r="F873">
        <v>70</v>
      </c>
      <c r="G873">
        <v>72</v>
      </c>
      <c r="H873">
        <v>76</v>
      </c>
    </row>
    <row r="874" spans="1:8" x14ac:dyDescent="0.25">
      <c r="A874" t="s">
        <v>19</v>
      </c>
      <c r="B874" t="s">
        <v>9</v>
      </c>
      <c r="C874" t="s">
        <v>21</v>
      </c>
      <c r="D874" t="s">
        <v>11</v>
      </c>
      <c r="E874" t="s">
        <v>16</v>
      </c>
      <c r="F874">
        <v>82</v>
      </c>
      <c r="G874">
        <v>84</v>
      </c>
      <c r="H874">
        <v>78</v>
      </c>
    </row>
    <row r="875" spans="1:8" x14ac:dyDescent="0.25">
      <c r="A875" t="s">
        <v>19</v>
      </c>
      <c r="B875" t="s">
        <v>39</v>
      </c>
      <c r="C875" t="s">
        <v>21</v>
      </c>
      <c r="D875" t="s">
        <v>22</v>
      </c>
      <c r="E875" t="s">
        <v>12</v>
      </c>
      <c r="F875">
        <v>90</v>
      </c>
      <c r="G875">
        <v>90</v>
      </c>
      <c r="H875">
        <v>82</v>
      </c>
    </row>
    <row r="876" spans="1:8" x14ac:dyDescent="0.25">
      <c r="A876" t="s">
        <v>8</v>
      </c>
      <c r="B876" t="s">
        <v>14</v>
      </c>
      <c r="C876" t="s">
        <v>10</v>
      </c>
      <c r="D876" t="s">
        <v>22</v>
      </c>
      <c r="E876" t="s">
        <v>12</v>
      </c>
      <c r="F876">
        <v>43</v>
      </c>
      <c r="G876">
        <v>62</v>
      </c>
      <c r="H876">
        <v>61</v>
      </c>
    </row>
    <row r="877" spans="1:8" x14ac:dyDescent="0.25">
      <c r="A877" t="s">
        <v>19</v>
      </c>
      <c r="B877" t="s">
        <v>14</v>
      </c>
      <c r="C877" t="s">
        <v>15</v>
      </c>
      <c r="D877" t="s">
        <v>22</v>
      </c>
      <c r="E877" t="s">
        <v>12</v>
      </c>
      <c r="F877">
        <v>80</v>
      </c>
      <c r="G877">
        <v>64</v>
      </c>
      <c r="H877">
        <v>66</v>
      </c>
    </row>
    <row r="878" spans="1:8" x14ac:dyDescent="0.25">
      <c r="A878" t="s">
        <v>19</v>
      </c>
      <c r="B878" t="s">
        <v>29</v>
      </c>
      <c r="C878" t="s">
        <v>15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25">
      <c r="A879" t="s">
        <v>19</v>
      </c>
      <c r="B879" t="s">
        <v>14</v>
      </c>
      <c r="C879" t="s">
        <v>38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25">
      <c r="A880" t="s">
        <v>8</v>
      </c>
      <c r="B880" t="s">
        <v>29</v>
      </c>
      <c r="C880" t="s">
        <v>38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25">
      <c r="A881" t="s">
        <v>8</v>
      </c>
      <c r="B881" t="s">
        <v>29</v>
      </c>
      <c r="C881" t="s">
        <v>21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25">
      <c r="A882" t="s">
        <v>19</v>
      </c>
      <c r="B882" t="s">
        <v>14</v>
      </c>
      <c r="C882" t="s">
        <v>10</v>
      </c>
      <c r="D882" t="s">
        <v>11</v>
      </c>
      <c r="E882" t="s">
        <v>16</v>
      </c>
      <c r="F882">
        <v>63</v>
      </c>
      <c r="G882">
        <v>64</v>
      </c>
      <c r="H882">
        <v>66</v>
      </c>
    </row>
    <row r="883" spans="1:8" x14ac:dyDescent="0.25">
      <c r="A883" t="s">
        <v>8</v>
      </c>
      <c r="B883" t="s">
        <v>39</v>
      </c>
      <c r="C883" t="s">
        <v>10</v>
      </c>
      <c r="D883" t="s">
        <v>11</v>
      </c>
      <c r="E883" t="s">
        <v>16</v>
      </c>
      <c r="F883">
        <v>71</v>
      </c>
      <c r="G883">
        <v>70</v>
      </c>
      <c r="H883">
        <v>70</v>
      </c>
    </row>
    <row r="884" spans="1:8" x14ac:dyDescent="0.25">
      <c r="A884" t="s">
        <v>8</v>
      </c>
      <c r="B884" t="s">
        <v>9</v>
      </c>
      <c r="C884" t="s">
        <v>30</v>
      </c>
      <c r="D884" t="s">
        <v>22</v>
      </c>
      <c r="E884" t="s">
        <v>12</v>
      </c>
      <c r="F884">
        <v>64</v>
      </c>
      <c r="G884">
        <v>73</v>
      </c>
      <c r="H884">
        <v>71</v>
      </c>
    </row>
    <row r="885" spans="1:8" x14ac:dyDescent="0.25">
      <c r="A885" t="s">
        <v>19</v>
      </c>
      <c r="B885" t="s">
        <v>29</v>
      </c>
      <c r="C885" t="s">
        <v>10</v>
      </c>
      <c r="D885" t="s">
        <v>22</v>
      </c>
      <c r="E885" t="s">
        <v>12</v>
      </c>
      <c r="F885">
        <v>55</v>
      </c>
      <c r="G885">
        <v>46</v>
      </c>
      <c r="H885">
        <v>44</v>
      </c>
    </row>
    <row r="886" spans="1:8" x14ac:dyDescent="0.25">
      <c r="A886" t="s">
        <v>8</v>
      </c>
      <c r="B886" t="s">
        <v>39</v>
      </c>
      <c r="C886" t="s">
        <v>21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25">
      <c r="A887" t="s">
        <v>8</v>
      </c>
      <c r="B887" t="s">
        <v>14</v>
      </c>
      <c r="C887" t="s">
        <v>21</v>
      </c>
      <c r="D887" t="s">
        <v>11</v>
      </c>
      <c r="E887" t="s">
        <v>16</v>
      </c>
      <c r="F887">
        <v>62</v>
      </c>
      <c r="G887">
        <v>76</v>
      </c>
      <c r="H887">
        <v>80</v>
      </c>
    </row>
    <row r="888" spans="1:8" x14ac:dyDescent="0.25">
      <c r="A888" t="s">
        <v>8</v>
      </c>
      <c r="B888" t="s">
        <v>39</v>
      </c>
      <c r="C888" t="s">
        <v>21</v>
      </c>
      <c r="D888" t="s">
        <v>11</v>
      </c>
      <c r="E888" t="s">
        <v>16</v>
      </c>
      <c r="F888">
        <v>93</v>
      </c>
      <c r="G888">
        <v>100</v>
      </c>
      <c r="H888">
        <v>95</v>
      </c>
    </row>
    <row r="889" spans="1:8" x14ac:dyDescent="0.25">
      <c r="A889" t="s">
        <v>19</v>
      </c>
      <c r="B889" t="s">
        <v>14</v>
      </c>
      <c r="C889" t="s">
        <v>30</v>
      </c>
      <c r="D889" t="s">
        <v>22</v>
      </c>
      <c r="E889" t="s">
        <v>12</v>
      </c>
      <c r="F889">
        <v>54</v>
      </c>
      <c r="G889">
        <v>72</v>
      </c>
      <c r="H889">
        <v>59</v>
      </c>
    </row>
    <row r="890" spans="1:8" x14ac:dyDescent="0.25">
      <c r="A890" t="s">
        <v>8</v>
      </c>
      <c r="B890" t="s">
        <v>29</v>
      </c>
      <c r="C890" t="s">
        <v>15</v>
      </c>
      <c r="D890" t="s">
        <v>22</v>
      </c>
      <c r="E890" t="s">
        <v>12</v>
      </c>
      <c r="F890">
        <v>69</v>
      </c>
      <c r="G890">
        <v>65</v>
      </c>
      <c r="H890">
        <v>74</v>
      </c>
    </row>
    <row r="891" spans="1:8" x14ac:dyDescent="0.25">
      <c r="A891" t="s">
        <v>19</v>
      </c>
      <c r="B891" t="s">
        <v>29</v>
      </c>
      <c r="C891" t="s">
        <v>30</v>
      </c>
      <c r="D891" t="s">
        <v>22</v>
      </c>
      <c r="E891" t="s">
        <v>12</v>
      </c>
      <c r="F891">
        <v>44</v>
      </c>
      <c r="G891">
        <v>51</v>
      </c>
      <c r="H891">
        <v>48</v>
      </c>
    </row>
    <row r="892" spans="1:8" x14ac:dyDescent="0.25">
      <c r="A892" t="s">
        <v>8</v>
      </c>
      <c r="B892" t="s">
        <v>39</v>
      </c>
      <c r="C892" t="s">
        <v>15</v>
      </c>
      <c r="D892" t="s">
        <v>11</v>
      </c>
      <c r="E892" t="s">
        <v>16</v>
      </c>
      <c r="F892">
        <v>86</v>
      </c>
      <c r="G892">
        <v>85</v>
      </c>
      <c r="H892">
        <v>91</v>
      </c>
    </row>
    <row r="893" spans="1:8" x14ac:dyDescent="0.25">
      <c r="A893" t="s">
        <v>8</v>
      </c>
      <c r="B893" t="s">
        <v>39</v>
      </c>
      <c r="C893" t="s">
        <v>21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25">
      <c r="A894" t="s">
        <v>8</v>
      </c>
      <c r="B894" t="s">
        <v>20</v>
      </c>
      <c r="C894" t="s">
        <v>18</v>
      </c>
      <c r="D894" t="s">
        <v>22</v>
      </c>
      <c r="E894" t="s">
        <v>12</v>
      </c>
      <c r="F894">
        <v>50</v>
      </c>
      <c r="G894">
        <v>67</v>
      </c>
      <c r="H894">
        <v>73</v>
      </c>
    </row>
    <row r="895" spans="1:8" x14ac:dyDescent="0.25">
      <c r="A895" t="s">
        <v>19</v>
      </c>
      <c r="B895" t="s">
        <v>29</v>
      </c>
      <c r="C895" t="s">
        <v>38</v>
      </c>
      <c r="D895" t="s">
        <v>11</v>
      </c>
      <c r="E895" t="s">
        <v>16</v>
      </c>
      <c r="F895">
        <v>88</v>
      </c>
      <c r="G895">
        <v>74</v>
      </c>
      <c r="H895">
        <v>75</v>
      </c>
    </row>
    <row r="896" spans="1:8" x14ac:dyDescent="0.25">
      <c r="A896" t="s">
        <v>8</v>
      </c>
      <c r="B896" t="s">
        <v>39</v>
      </c>
      <c r="C896" t="s">
        <v>21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25">
      <c r="A897" t="s">
        <v>8</v>
      </c>
      <c r="B897" t="s">
        <v>39</v>
      </c>
      <c r="C897" t="s">
        <v>38</v>
      </c>
      <c r="D897" t="s">
        <v>22</v>
      </c>
      <c r="E897" t="s">
        <v>12</v>
      </c>
      <c r="F897">
        <v>32</v>
      </c>
      <c r="G897">
        <v>34</v>
      </c>
      <c r="H897">
        <v>38</v>
      </c>
    </row>
    <row r="898" spans="1:8" x14ac:dyDescent="0.25">
      <c r="A898" t="s">
        <v>19</v>
      </c>
      <c r="B898" t="s">
        <v>9</v>
      </c>
      <c r="C898" t="s">
        <v>30</v>
      </c>
      <c r="D898" t="s">
        <v>22</v>
      </c>
      <c r="E898" t="s">
        <v>12</v>
      </c>
      <c r="F898">
        <v>36</v>
      </c>
      <c r="G898">
        <v>29</v>
      </c>
      <c r="H898">
        <v>27</v>
      </c>
    </row>
    <row r="899" spans="1:8" x14ac:dyDescent="0.25">
      <c r="A899" t="s">
        <v>8</v>
      </c>
      <c r="B899" t="s">
        <v>9</v>
      </c>
      <c r="C899" t="s">
        <v>38</v>
      </c>
      <c r="D899" t="s">
        <v>22</v>
      </c>
      <c r="E899" t="s">
        <v>16</v>
      </c>
      <c r="F899">
        <v>63</v>
      </c>
      <c r="G899">
        <v>78</v>
      </c>
      <c r="H899">
        <v>79</v>
      </c>
    </row>
    <row r="900" spans="1:8" x14ac:dyDescent="0.25">
      <c r="A900" t="s">
        <v>19</v>
      </c>
      <c r="B900" t="s">
        <v>29</v>
      </c>
      <c r="C900" t="s">
        <v>21</v>
      </c>
      <c r="D900" t="s">
        <v>11</v>
      </c>
      <c r="E900" t="s">
        <v>16</v>
      </c>
      <c r="F900">
        <v>67</v>
      </c>
      <c r="G900">
        <v>54</v>
      </c>
      <c r="H900">
        <v>63</v>
      </c>
    </row>
    <row r="901" spans="1:8" x14ac:dyDescent="0.25">
      <c r="A901" t="s">
        <v>8</v>
      </c>
      <c r="B901" t="s">
        <v>29</v>
      </c>
      <c r="C901" t="s">
        <v>38</v>
      </c>
      <c r="D901" t="s">
        <v>11</v>
      </c>
      <c r="E901" t="s">
        <v>16</v>
      </c>
      <c r="F901">
        <v>65</v>
      </c>
      <c r="G901">
        <v>78</v>
      </c>
      <c r="H901">
        <v>82</v>
      </c>
    </row>
    <row r="902" spans="1:8" x14ac:dyDescent="0.25">
      <c r="A902" t="s">
        <v>19</v>
      </c>
      <c r="B902" t="s">
        <v>29</v>
      </c>
      <c r="C902" t="s">
        <v>18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25">
      <c r="A903" t="s">
        <v>8</v>
      </c>
      <c r="B903" t="s">
        <v>14</v>
      </c>
      <c r="C903" t="s">
        <v>18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25">
      <c r="A904" t="s">
        <v>8</v>
      </c>
      <c r="B904" t="s">
        <v>20</v>
      </c>
      <c r="C904" t="s">
        <v>30</v>
      </c>
      <c r="D904" t="s">
        <v>22</v>
      </c>
      <c r="E904" t="s">
        <v>16</v>
      </c>
      <c r="F904">
        <v>34</v>
      </c>
      <c r="G904">
        <v>48</v>
      </c>
      <c r="H904">
        <v>41</v>
      </c>
    </row>
    <row r="905" spans="1:8" x14ac:dyDescent="0.25">
      <c r="A905" t="s">
        <v>8</v>
      </c>
      <c r="B905" t="s">
        <v>29</v>
      </c>
      <c r="C905" t="s">
        <v>10</v>
      </c>
      <c r="D905" t="s">
        <v>22</v>
      </c>
      <c r="E905" t="s">
        <v>16</v>
      </c>
      <c r="F905">
        <v>93</v>
      </c>
      <c r="G905">
        <v>100</v>
      </c>
      <c r="H905">
        <v>100</v>
      </c>
    </row>
    <row r="906" spans="1:8" x14ac:dyDescent="0.25">
      <c r="A906" t="s">
        <v>8</v>
      </c>
      <c r="B906" t="s">
        <v>29</v>
      </c>
      <c r="C906" t="s">
        <v>38</v>
      </c>
      <c r="D906" t="s">
        <v>22</v>
      </c>
      <c r="E906" t="s">
        <v>12</v>
      </c>
      <c r="F906">
        <v>67</v>
      </c>
      <c r="G906">
        <v>84</v>
      </c>
      <c r="H906">
        <v>84</v>
      </c>
    </row>
    <row r="907" spans="1:8" x14ac:dyDescent="0.25">
      <c r="A907" t="s">
        <v>19</v>
      </c>
      <c r="B907" t="s">
        <v>29</v>
      </c>
      <c r="C907" t="s">
        <v>15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25">
      <c r="A908" t="s">
        <v>19</v>
      </c>
      <c r="B908" t="s">
        <v>9</v>
      </c>
      <c r="C908" t="s">
        <v>30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25">
      <c r="A909" t="s">
        <v>8</v>
      </c>
      <c r="B909" t="s">
        <v>29</v>
      </c>
      <c r="C909" t="s">
        <v>15</v>
      </c>
      <c r="D909" t="s">
        <v>11</v>
      </c>
      <c r="E909" t="s">
        <v>16</v>
      </c>
      <c r="F909">
        <v>79</v>
      </c>
      <c r="G909">
        <v>84</v>
      </c>
      <c r="H909">
        <v>91</v>
      </c>
    </row>
    <row r="910" spans="1:8" x14ac:dyDescent="0.25">
      <c r="A910" t="s">
        <v>8</v>
      </c>
      <c r="B910" t="s">
        <v>14</v>
      </c>
      <c r="C910" t="s">
        <v>10</v>
      </c>
      <c r="D910" t="s">
        <v>22</v>
      </c>
      <c r="E910" t="s">
        <v>12</v>
      </c>
      <c r="F910">
        <v>67</v>
      </c>
      <c r="G910">
        <v>75</v>
      </c>
      <c r="H910">
        <v>72</v>
      </c>
    </row>
    <row r="911" spans="1:8" x14ac:dyDescent="0.25">
      <c r="A911" t="s">
        <v>19</v>
      </c>
      <c r="B911" t="s">
        <v>39</v>
      </c>
      <c r="C911" t="s">
        <v>10</v>
      </c>
      <c r="D911" t="s">
        <v>11</v>
      </c>
      <c r="E911" t="s">
        <v>16</v>
      </c>
      <c r="F911">
        <v>70</v>
      </c>
      <c r="G911">
        <v>64</v>
      </c>
      <c r="H911">
        <v>70</v>
      </c>
    </row>
    <row r="912" spans="1:8" x14ac:dyDescent="0.25">
      <c r="A912" t="s">
        <v>19</v>
      </c>
      <c r="B912" t="s">
        <v>29</v>
      </c>
      <c r="C912" t="s">
        <v>10</v>
      </c>
      <c r="D912" t="s">
        <v>22</v>
      </c>
      <c r="E912" t="s">
        <v>12</v>
      </c>
      <c r="F912">
        <v>50</v>
      </c>
      <c r="G912">
        <v>42</v>
      </c>
      <c r="H912">
        <v>48</v>
      </c>
    </row>
    <row r="913" spans="1:8" x14ac:dyDescent="0.25">
      <c r="A913" t="s">
        <v>8</v>
      </c>
      <c r="B913" t="s">
        <v>20</v>
      </c>
      <c r="C913" t="s">
        <v>15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25">
      <c r="A914" t="s">
        <v>8</v>
      </c>
      <c r="B914" t="s">
        <v>14</v>
      </c>
      <c r="C914" t="s">
        <v>10</v>
      </c>
      <c r="D914" t="s">
        <v>11</v>
      </c>
      <c r="E914" t="s">
        <v>16</v>
      </c>
      <c r="F914">
        <v>52</v>
      </c>
      <c r="G914">
        <v>61</v>
      </c>
      <c r="H914">
        <v>66</v>
      </c>
    </row>
    <row r="915" spans="1:8" x14ac:dyDescent="0.25">
      <c r="A915" t="s">
        <v>8</v>
      </c>
      <c r="B915" t="s">
        <v>14</v>
      </c>
      <c r="C915" t="s">
        <v>10</v>
      </c>
      <c r="D915" t="s">
        <v>22</v>
      </c>
      <c r="E915" t="s">
        <v>16</v>
      </c>
      <c r="F915">
        <v>47</v>
      </c>
      <c r="G915">
        <v>62</v>
      </c>
      <c r="H915">
        <v>66</v>
      </c>
    </row>
    <row r="916" spans="1:8" x14ac:dyDescent="0.25">
      <c r="A916" t="s">
        <v>8</v>
      </c>
      <c r="B916" t="s">
        <v>9</v>
      </c>
      <c r="C916" t="s">
        <v>21</v>
      </c>
      <c r="D916" t="s">
        <v>22</v>
      </c>
      <c r="E916" t="s">
        <v>12</v>
      </c>
      <c r="F916">
        <v>46</v>
      </c>
      <c r="G916">
        <v>61</v>
      </c>
      <c r="H916">
        <v>55</v>
      </c>
    </row>
    <row r="917" spans="1:8" x14ac:dyDescent="0.25">
      <c r="A917" t="s">
        <v>8</v>
      </c>
      <c r="B917" t="s">
        <v>39</v>
      </c>
      <c r="C917" t="s">
        <v>15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25">
      <c r="A918" t="s">
        <v>19</v>
      </c>
      <c r="B918" t="s">
        <v>39</v>
      </c>
      <c r="C918" t="s">
        <v>10</v>
      </c>
      <c r="D918" t="s">
        <v>11</v>
      </c>
      <c r="E918" t="s">
        <v>16</v>
      </c>
      <c r="F918">
        <v>100</v>
      </c>
      <c r="G918">
        <v>100</v>
      </c>
      <c r="H918">
        <v>100</v>
      </c>
    </row>
    <row r="919" spans="1:8" x14ac:dyDescent="0.25">
      <c r="A919" t="s">
        <v>8</v>
      </c>
      <c r="B919" t="s">
        <v>14</v>
      </c>
      <c r="C919" t="s">
        <v>30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25">
      <c r="A920" t="s">
        <v>8</v>
      </c>
      <c r="B920" t="s">
        <v>14</v>
      </c>
      <c r="C920" t="s">
        <v>21</v>
      </c>
      <c r="D920" t="s">
        <v>11</v>
      </c>
      <c r="E920" t="s">
        <v>16</v>
      </c>
      <c r="F920">
        <v>57</v>
      </c>
      <c r="G920">
        <v>77</v>
      </c>
      <c r="H920">
        <v>80</v>
      </c>
    </row>
    <row r="921" spans="1:8" x14ac:dyDescent="0.25">
      <c r="A921" t="s">
        <v>19</v>
      </c>
      <c r="B921" t="s">
        <v>9</v>
      </c>
      <c r="C921" t="s">
        <v>15</v>
      </c>
      <c r="D921" t="s">
        <v>11</v>
      </c>
      <c r="E921" t="s">
        <v>16</v>
      </c>
      <c r="F921">
        <v>91</v>
      </c>
      <c r="G921">
        <v>96</v>
      </c>
      <c r="H921">
        <v>91</v>
      </c>
    </row>
    <row r="922" spans="1:8" x14ac:dyDescent="0.25">
      <c r="A922" t="s">
        <v>19</v>
      </c>
      <c r="B922" t="s">
        <v>29</v>
      </c>
      <c r="C922" t="s">
        <v>30</v>
      </c>
      <c r="D922" t="s">
        <v>22</v>
      </c>
      <c r="E922" t="s">
        <v>12</v>
      </c>
      <c r="F922">
        <v>69</v>
      </c>
      <c r="G922">
        <v>70</v>
      </c>
      <c r="H922">
        <v>67</v>
      </c>
    </row>
    <row r="923" spans="1:8" x14ac:dyDescent="0.25">
      <c r="A923" t="s">
        <v>8</v>
      </c>
      <c r="B923" t="s">
        <v>14</v>
      </c>
      <c r="C923" t="s">
        <v>30</v>
      </c>
      <c r="D923" t="s">
        <v>22</v>
      </c>
      <c r="E923" t="s">
        <v>12</v>
      </c>
      <c r="F923">
        <v>35</v>
      </c>
      <c r="G923">
        <v>53</v>
      </c>
      <c r="H923">
        <v>46</v>
      </c>
    </row>
    <row r="924" spans="1:8" x14ac:dyDescent="0.25">
      <c r="A924" t="s">
        <v>19</v>
      </c>
      <c r="B924" t="s">
        <v>29</v>
      </c>
      <c r="C924" t="s">
        <v>30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25">
      <c r="A925" t="s">
        <v>8</v>
      </c>
      <c r="B925" t="s">
        <v>9</v>
      </c>
      <c r="C925" t="s">
        <v>21</v>
      </c>
      <c r="D925" t="s">
        <v>22</v>
      </c>
      <c r="E925" t="s">
        <v>12</v>
      </c>
      <c r="F925">
        <v>54</v>
      </c>
      <c r="G925">
        <v>65</v>
      </c>
      <c r="H925">
        <v>65</v>
      </c>
    </row>
    <row r="926" spans="1:8" x14ac:dyDescent="0.25">
      <c r="A926" t="s">
        <v>19</v>
      </c>
      <c r="B926" t="s">
        <v>29</v>
      </c>
      <c r="C926" t="s">
        <v>30</v>
      </c>
      <c r="D926" t="s">
        <v>22</v>
      </c>
      <c r="E926" t="s">
        <v>12</v>
      </c>
      <c r="F926">
        <v>74</v>
      </c>
      <c r="G926">
        <v>70</v>
      </c>
      <c r="H926">
        <v>69</v>
      </c>
    </row>
    <row r="927" spans="1:8" x14ac:dyDescent="0.25">
      <c r="A927" t="s">
        <v>19</v>
      </c>
      <c r="B927" t="s">
        <v>39</v>
      </c>
      <c r="C927" t="s">
        <v>38</v>
      </c>
      <c r="D927" t="s">
        <v>11</v>
      </c>
      <c r="E927" t="s">
        <v>16</v>
      </c>
      <c r="F927">
        <v>74</v>
      </c>
      <c r="G927">
        <v>64</v>
      </c>
      <c r="H927">
        <v>60</v>
      </c>
    </row>
    <row r="928" spans="1:8" x14ac:dyDescent="0.25">
      <c r="A928" t="s">
        <v>19</v>
      </c>
      <c r="B928" t="s">
        <v>39</v>
      </c>
      <c r="C928" t="s">
        <v>21</v>
      </c>
      <c r="D928" t="s">
        <v>22</v>
      </c>
      <c r="E928" t="s">
        <v>12</v>
      </c>
      <c r="F928">
        <v>64</v>
      </c>
      <c r="G928">
        <v>56</v>
      </c>
      <c r="H928">
        <v>52</v>
      </c>
    </row>
    <row r="929" spans="1:8" x14ac:dyDescent="0.25">
      <c r="A929" t="s">
        <v>8</v>
      </c>
      <c r="B929" t="s">
        <v>29</v>
      </c>
      <c r="C929" t="s">
        <v>30</v>
      </c>
      <c r="D929" t="s">
        <v>22</v>
      </c>
      <c r="E929" t="s">
        <v>16</v>
      </c>
      <c r="F929">
        <v>65</v>
      </c>
      <c r="G929">
        <v>61</v>
      </c>
      <c r="H929">
        <v>71</v>
      </c>
    </row>
    <row r="930" spans="1:8" x14ac:dyDescent="0.25">
      <c r="A930" t="s">
        <v>19</v>
      </c>
      <c r="B930" t="s">
        <v>39</v>
      </c>
      <c r="C930" t="s">
        <v>21</v>
      </c>
      <c r="D930" t="s">
        <v>22</v>
      </c>
      <c r="E930" t="s">
        <v>16</v>
      </c>
      <c r="F930">
        <v>46</v>
      </c>
      <c r="G930">
        <v>43</v>
      </c>
      <c r="H930">
        <v>44</v>
      </c>
    </row>
    <row r="931" spans="1:8" x14ac:dyDescent="0.25">
      <c r="A931" t="s">
        <v>8</v>
      </c>
      <c r="B931" t="s">
        <v>14</v>
      </c>
      <c r="C931" t="s">
        <v>38</v>
      </c>
      <c r="D931" t="s">
        <v>22</v>
      </c>
      <c r="E931" t="s">
        <v>12</v>
      </c>
      <c r="F931">
        <v>48</v>
      </c>
      <c r="G931">
        <v>56</v>
      </c>
      <c r="H931">
        <v>51</v>
      </c>
    </row>
    <row r="932" spans="1:8" x14ac:dyDescent="0.25">
      <c r="A932" t="s">
        <v>19</v>
      </c>
      <c r="B932" t="s">
        <v>14</v>
      </c>
      <c r="C932" t="s">
        <v>15</v>
      </c>
      <c r="D932" t="s">
        <v>22</v>
      </c>
      <c r="E932" t="s">
        <v>16</v>
      </c>
      <c r="F932">
        <v>67</v>
      </c>
      <c r="G932">
        <v>74</v>
      </c>
      <c r="H932">
        <v>70</v>
      </c>
    </row>
    <row r="933" spans="1:8" x14ac:dyDescent="0.25">
      <c r="A933" t="s">
        <v>19</v>
      </c>
      <c r="B933" t="s">
        <v>29</v>
      </c>
      <c r="C933" t="s">
        <v>15</v>
      </c>
      <c r="D933" t="s">
        <v>22</v>
      </c>
      <c r="E933" t="s">
        <v>12</v>
      </c>
      <c r="F933">
        <v>62</v>
      </c>
      <c r="G933">
        <v>57</v>
      </c>
      <c r="H933">
        <v>62</v>
      </c>
    </row>
    <row r="934" spans="1:8" x14ac:dyDescent="0.25">
      <c r="A934" t="s">
        <v>19</v>
      </c>
      <c r="B934" t="s">
        <v>29</v>
      </c>
      <c r="C934" t="s">
        <v>21</v>
      </c>
      <c r="D934" t="s">
        <v>22</v>
      </c>
      <c r="E934" t="s">
        <v>16</v>
      </c>
      <c r="F934">
        <v>61</v>
      </c>
      <c r="G934">
        <v>71</v>
      </c>
      <c r="H934">
        <v>73</v>
      </c>
    </row>
    <row r="935" spans="1:8" x14ac:dyDescent="0.25">
      <c r="A935" t="s">
        <v>19</v>
      </c>
      <c r="B935" t="s">
        <v>14</v>
      </c>
      <c r="C935" t="s">
        <v>10</v>
      </c>
      <c r="D935" t="s">
        <v>22</v>
      </c>
      <c r="E935" t="s">
        <v>16</v>
      </c>
      <c r="F935">
        <v>70</v>
      </c>
      <c r="G935">
        <v>75</v>
      </c>
      <c r="H935">
        <v>74</v>
      </c>
    </row>
    <row r="936" spans="1:8" x14ac:dyDescent="0.25">
      <c r="A936" t="s">
        <v>19</v>
      </c>
      <c r="B936" t="s">
        <v>14</v>
      </c>
      <c r="C936" t="s">
        <v>21</v>
      </c>
      <c r="D936" t="s">
        <v>11</v>
      </c>
      <c r="E936" t="s">
        <v>16</v>
      </c>
      <c r="F936">
        <v>98</v>
      </c>
      <c r="G936">
        <v>87</v>
      </c>
      <c r="H936">
        <v>90</v>
      </c>
    </row>
    <row r="937" spans="1:8" x14ac:dyDescent="0.25">
      <c r="A937" t="s">
        <v>19</v>
      </c>
      <c r="B937" t="s">
        <v>29</v>
      </c>
      <c r="C937" t="s">
        <v>15</v>
      </c>
      <c r="D937" t="s">
        <v>22</v>
      </c>
      <c r="E937" t="s">
        <v>12</v>
      </c>
      <c r="F937">
        <v>70</v>
      </c>
      <c r="G937">
        <v>63</v>
      </c>
      <c r="H937">
        <v>58</v>
      </c>
    </row>
    <row r="938" spans="1:8" x14ac:dyDescent="0.25">
      <c r="A938" t="s">
        <v>19</v>
      </c>
      <c r="B938" t="s">
        <v>20</v>
      </c>
      <c r="C938" t="s">
        <v>21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25">
      <c r="A939" t="s">
        <v>8</v>
      </c>
      <c r="B939" t="s">
        <v>39</v>
      </c>
      <c r="C939" t="s">
        <v>30</v>
      </c>
      <c r="D939" t="s">
        <v>22</v>
      </c>
      <c r="E939" t="s">
        <v>12</v>
      </c>
      <c r="F939">
        <v>57</v>
      </c>
      <c r="G939">
        <v>58</v>
      </c>
      <c r="H939">
        <v>57</v>
      </c>
    </row>
    <row r="940" spans="1:8" x14ac:dyDescent="0.25">
      <c r="A940" t="s">
        <v>19</v>
      </c>
      <c r="B940" t="s">
        <v>29</v>
      </c>
      <c r="C940" t="s">
        <v>15</v>
      </c>
      <c r="D940" t="s">
        <v>11</v>
      </c>
      <c r="E940" t="s">
        <v>16</v>
      </c>
      <c r="F940">
        <v>85</v>
      </c>
      <c r="G940">
        <v>81</v>
      </c>
      <c r="H940">
        <v>85</v>
      </c>
    </row>
    <row r="941" spans="1:8" x14ac:dyDescent="0.25">
      <c r="A941" t="s">
        <v>19</v>
      </c>
      <c r="B941" t="s">
        <v>29</v>
      </c>
      <c r="C941" t="s">
        <v>38</v>
      </c>
      <c r="D941" t="s">
        <v>11</v>
      </c>
      <c r="E941" t="s">
        <v>16</v>
      </c>
      <c r="F941">
        <v>77</v>
      </c>
      <c r="G941">
        <v>68</v>
      </c>
      <c r="H941">
        <v>69</v>
      </c>
    </row>
    <row r="942" spans="1:8" x14ac:dyDescent="0.25">
      <c r="A942" t="s">
        <v>19</v>
      </c>
      <c r="B942" t="s">
        <v>14</v>
      </c>
      <c r="C942" t="s">
        <v>18</v>
      </c>
      <c r="D942" t="s">
        <v>22</v>
      </c>
      <c r="E942" t="s">
        <v>16</v>
      </c>
      <c r="F942">
        <v>72</v>
      </c>
      <c r="G942">
        <v>66</v>
      </c>
      <c r="H942">
        <v>72</v>
      </c>
    </row>
    <row r="943" spans="1:8" x14ac:dyDescent="0.25">
      <c r="A943" t="s">
        <v>8</v>
      </c>
      <c r="B943" t="s">
        <v>29</v>
      </c>
      <c r="C943" t="s">
        <v>18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25">
      <c r="A944" t="s">
        <v>19</v>
      </c>
      <c r="B944" t="s">
        <v>14</v>
      </c>
      <c r="C944" t="s">
        <v>30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25">
      <c r="A945" t="s">
        <v>19</v>
      </c>
      <c r="B945" t="s">
        <v>20</v>
      </c>
      <c r="C945" t="s">
        <v>38</v>
      </c>
      <c r="D945" t="s">
        <v>22</v>
      </c>
      <c r="E945" t="s">
        <v>16</v>
      </c>
      <c r="F945">
        <v>61</v>
      </c>
      <c r="G945">
        <v>62</v>
      </c>
      <c r="H945">
        <v>61</v>
      </c>
    </row>
    <row r="946" spans="1:8" x14ac:dyDescent="0.25">
      <c r="A946" t="s">
        <v>8</v>
      </c>
      <c r="B946" t="s">
        <v>9</v>
      </c>
      <c r="C946" t="s">
        <v>30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25">
      <c r="A947" t="s">
        <v>8</v>
      </c>
      <c r="B947" t="s">
        <v>14</v>
      </c>
      <c r="C947" t="s">
        <v>21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25">
      <c r="A948" t="s">
        <v>19</v>
      </c>
      <c r="B948" t="s">
        <v>9</v>
      </c>
      <c r="C948" t="s">
        <v>30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25">
      <c r="A949" t="s">
        <v>8</v>
      </c>
      <c r="B949" t="s">
        <v>29</v>
      </c>
      <c r="C949" t="s">
        <v>15</v>
      </c>
      <c r="D949" t="s">
        <v>22</v>
      </c>
      <c r="E949" t="s">
        <v>12</v>
      </c>
      <c r="F949">
        <v>49</v>
      </c>
      <c r="G949">
        <v>58</v>
      </c>
      <c r="H949">
        <v>60</v>
      </c>
    </row>
    <row r="950" spans="1:8" x14ac:dyDescent="0.25">
      <c r="A950" t="s">
        <v>19</v>
      </c>
      <c r="B950" t="s">
        <v>9</v>
      </c>
      <c r="C950" t="s">
        <v>38</v>
      </c>
      <c r="D950" t="s">
        <v>22</v>
      </c>
      <c r="E950" t="s">
        <v>16</v>
      </c>
      <c r="F950">
        <v>49</v>
      </c>
      <c r="G950">
        <v>50</v>
      </c>
      <c r="H950">
        <v>52</v>
      </c>
    </row>
    <row r="951" spans="1:8" x14ac:dyDescent="0.25">
      <c r="A951" t="s">
        <v>8</v>
      </c>
      <c r="B951" t="s">
        <v>39</v>
      </c>
      <c r="C951" t="s">
        <v>30</v>
      </c>
      <c r="D951" t="s">
        <v>22</v>
      </c>
      <c r="E951" t="s">
        <v>16</v>
      </c>
      <c r="F951">
        <v>57</v>
      </c>
      <c r="G951">
        <v>75</v>
      </c>
      <c r="H951">
        <v>73</v>
      </c>
    </row>
    <row r="952" spans="1:8" x14ac:dyDescent="0.25">
      <c r="A952" t="s">
        <v>19</v>
      </c>
      <c r="B952" t="s">
        <v>39</v>
      </c>
      <c r="C952" t="s">
        <v>30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25">
      <c r="A953" t="s">
        <v>8</v>
      </c>
      <c r="B953" t="s">
        <v>29</v>
      </c>
      <c r="C953" t="s">
        <v>15</v>
      </c>
      <c r="D953" t="s">
        <v>11</v>
      </c>
      <c r="E953" t="s">
        <v>16</v>
      </c>
      <c r="F953">
        <v>75</v>
      </c>
      <c r="G953">
        <v>77</v>
      </c>
      <c r="H953">
        <v>83</v>
      </c>
    </row>
    <row r="954" spans="1:8" x14ac:dyDescent="0.25">
      <c r="A954" t="s">
        <v>8</v>
      </c>
      <c r="B954" t="s">
        <v>39</v>
      </c>
      <c r="C954" t="s">
        <v>38</v>
      </c>
      <c r="D954" t="s">
        <v>22</v>
      </c>
      <c r="E954" t="s">
        <v>12</v>
      </c>
      <c r="F954">
        <v>74</v>
      </c>
      <c r="G954">
        <v>74</v>
      </c>
      <c r="H954">
        <v>72</v>
      </c>
    </row>
    <row r="955" spans="1:8" x14ac:dyDescent="0.25">
      <c r="A955" t="s">
        <v>19</v>
      </c>
      <c r="B955" t="s">
        <v>14</v>
      </c>
      <c r="C955" t="s">
        <v>30</v>
      </c>
      <c r="D955" t="s">
        <v>11</v>
      </c>
      <c r="E955" t="s">
        <v>16</v>
      </c>
      <c r="F955">
        <v>58</v>
      </c>
      <c r="G955">
        <v>52</v>
      </c>
      <c r="H955">
        <v>54</v>
      </c>
    </row>
    <row r="956" spans="1:8" x14ac:dyDescent="0.25">
      <c r="A956" t="s">
        <v>8</v>
      </c>
      <c r="B956" t="s">
        <v>14</v>
      </c>
      <c r="C956" t="s">
        <v>15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25">
      <c r="A957" t="s">
        <v>19</v>
      </c>
      <c r="B957" t="s">
        <v>39</v>
      </c>
      <c r="C957" t="s">
        <v>21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25">
      <c r="A958" t="s">
        <v>19</v>
      </c>
      <c r="B958" t="s">
        <v>14</v>
      </c>
      <c r="C958" t="s">
        <v>15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25">
      <c r="A959" t="s">
        <v>8</v>
      </c>
      <c r="B959" t="s">
        <v>29</v>
      </c>
      <c r="C959" t="s">
        <v>18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25">
      <c r="A960" t="s">
        <v>8</v>
      </c>
      <c r="B960" t="s">
        <v>29</v>
      </c>
      <c r="C960" t="s">
        <v>30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25">
      <c r="A961" t="s">
        <v>19</v>
      </c>
      <c r="B961" t="s">
        <v>14</v>
      </c>
      <c r="C961" t="s">
        <v>30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25">
      <c r="A962" t="s">
        <v>8</v>
      </c>
      <c r="B962" t="s">
        <v>20</v>
      </c>
      <c r="C962" t="s">
        <v>15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25">
      <c r="A963" t="s">
        <v>8</v>
      </c>
      <c r="B963" t="s">
        <v>29</v>
      </c>
      <c r="C963" t="s">
        <v>38</v>
      </c>
      <c r="D963" t="s">
        <v>22</v>
      </c>
      <c r="E963" t="s">
        <v>12</v>
      </c>
      <c r="F963">
        <v>48</v>
      </c>
      <c r="G963">
        <v>54</v>
      </c>
      <c r="H963">
        <v>53</v>
      </c>
    </row>
    <row r="964" spans="1:8" x14ac:dyDescent="0.25">
      <c r="A964" t="s">
        <v>8</v>
      </c>
      <c r="B964" t="s">
        <v>39</v>
      </c>
      <c r="C964" t="s">
        <v>21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25">
      <c r="A965" t="s">
        <v>8</v>
      </c>
      <c r="B965" t="s">
        <v>14</v>
      </c>
      <c r="C965" t="s">
        <v>38</v>
      </c>
      <c r="D965" t="s">
        <v>22</v>
      </c>
      <c r="E965" t="s">
        <v>16</v>
      </c>
      <c r="F965">
        <v>65</v>
      </c>
      <c r="G965">
        <v>76</v>
      </c>
      <c r="H965">
        <v>75</v>
      </c>
    </row>
    <row r="966" spans="1:8" x14ac:dyDescent="0.25">
      <c r="A966" t="s">
        <v>19</v>
      </c>
      <c r="B966" t="s">
        <v>29</v>
      </c>
      <c r="C966" t="s">
        <v>15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25">
      <c r="A967" t="s">
        <v>8</v>
      </c>
      <c r="B967" t="s">
        <v>29</v>
      </c>
      <c r="C967" t="s">
        <v>15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25">
      <c r="A968" t="s">
        <v>19</v>
      </c>
      <c r="B968" t="s">
        <v>20</v>
      </c>
      <c r="C968" t="s">
        <v>38</v>
      </c>
      <c r="D968" t="s">
        <v>11</v>
      </c>
      <c r="E968" t="s">
        <v>16</v>
      </c>
      <c r="F968">
        <v>66</v>
      </c>
      <c r="G968">
        <v>68</v>
      </c>
      <c r="H968">
        <v>64</v>
      </c>
    </row>
    <row r="969" spans="1:8" x14ac:dyDescent="0.25">
      <c r="A969" t="s">
        <v>19</v>
      </c>
      <c r="B969" t="s">
        <v>14</v>
      </c>
      <c r="C969" t="s">
        <v>15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25">
      <c r="A970" t="s">
        <v>8</v>
      </c>
      <c r="B970" t="s">
        <v>39</v>
      </c>
      <c r="C970" t="s">
        <v>21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25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25">
      <c r="A972" t="s">
        <v>8</v>
      </c>
      <c r="B972" t="s">
        <v>29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25">
      <c r="A973" t="s">
        <v>19</v>
      </c>
      <c r="B973" t="s">
        <v>14</v>
      </c>
      <c r="C973" t="s">
        <v>38</v>
      </c>
      <c r="D973" t="s">
        <v>11</v>
      </c>
      <c r="E973" t="s">
        <v>16</v>
      </c>
      <c r="F973">
        <v>78</v>
      </c>
      <c r="G973">
        <v>72</v>
      </c>
      <c r="H973">
        <v>69</v>
      </c>
    </row>
    <row r="974" spans="1:8" x14ac:dyDescent="0.25">
      <c r="A974" t="s">
        <v>8</v>
      </c>
      <c r="B974" t="s">
        <v>20</v>
      </c>
      <c r="C974" t="s">
        <v>30</v>
      </c>
      <c r="D974" t="s">
        <v>22</v>
      </c>
      <c r="E974" t="s">
        <v>16</v>
      </c>
      <c r="F974">
        <v>53</v>
      </c>
      <c r="G974">
        <v>50</v>
      </c>
      <c r="H974">
        <v>60</v>
      </c>
    </row>
    <row r="975" spans="1:8" x14ac:dyDescent="0.25">
      <c r="A975" t="s">
        <v>8</v>
      </c>
      <c r="B975" t="s">
        <v>29</v>
      </c>
      <c r="C975" t="s">
        <v>15</v>
      </c>
      <c r="D975" t="s">
        <v>22</v>
      </c>
      <c r="E975" t="s">
        <v>12</v>
      </c>
      <c r="F975">
        <v>49</v>
      </c>
      <c r="G975">
        <v>65</v>
      </c>
      <c r="H975">
        <v>61</v>
      </c>
    </row>
    <row r="976" spans="1:8" x14ac:dyDescent="0.25">
      <c r="A976" t="s">
        <v>8</v>
      </c>
      <c r="B976" t="s">
        <v>20</v>
      </c>
      <c r="C976" t="s">
        <v>15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25">
      <c r="A977" t="s">
        <v>8</v>
      </c>
      <c r="B977" t="s">
        <v>14</v>
      </c>
      <c r="C977" t="s">
        <v>15</v>
      </c>
      <c r="D977" t="s">
        <v>11</v>
      </c>
      <c r="E977" t="s">
        <v>16</v>
      </c>
      <c r="F977">
        <v>64</v>
      </c>
      <c r="G977">
        <v>82</v>
      </c>
      <c r="H977">
        <v>77</v>
      </c>
    </row>
    <row r="978" spans="1:8" x14ac:dyDescent="0.25">
      <c r="A978" t="s">
        <v>19</v>
      </c>
      <c r="B978" t="s">
        <v>9</v>
      </c>
      <c r="C978" t="s">
        <v>15</v>
      </c>
      <c r="D978" t="s">
        <v>22</v>
      </c>
      <c r="E978" t="s">
        <v>16</v>
      </c>
      <c r="F978">
        <v>60</v>
      </c>
      <c r="G978">
        <v>62</v>
      </c>
      <c r="H978">
        <v>60</v>
      </c>
    </row>
    <row r="979" spans="1:8" x14ac:dyDescent="0.25">
      <c r="A979" t="s">
        <v>19</v>
      </c>
      <c r="B979" t="s">
        <v>14</v>
      </c>
      <c r="C979" t="s">
        <v>21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25">
      <c r="A980" t="s">
        <v>19</v>
      </c>
      <c r="B980" t="s">
        <v>29</v>
      </c>
      <c r="C980" t="s">
        <v>30</v>
      </c>
      <c r="D980" t="s">
        <v>11</v>
      </c>
      <c r="E980" t="s">
        <v>16</v>
      </c>
      <c r="F980">
        <v>55</v>
      </c>
      <c r="G980">
        <v>41</v>
      </c>
      <c r="H980">
        <v>48</v>
      </c>
    </row>
    <row r="981" spans="1:8" x14ac:dyDescent="0.25">
      <c r="A981" t="s">
        <v>8</v>
      </c>
      <c r="B981" t="s">
        <v>14</v>
      </c>
      <c r="C981" t="s">
        <v>21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25">
      <c r="A982" t="s">
        <v>8</v>
      </c>
      <c r="B982" t="s">
        <v>9</v>
      </c>
      <c r="C982" t="s">
        <v>30</v>
      </c>
      <c r="D982" t="s">
        <v>22</v>
      </c>
      <c r="E982" t="s">
        <v>12</v>
      </c>
      <c r="F982">
        <v>8</v>
      </c>
      <c r="G982">
        <v>24</v>
      </c>
      <c r="H982">
        <v>23</v>
      </c>
    </row>
    <row r="983" spans="1:8" x14ac:dyDescent="0.25">
      <c r="A983" t="s">
        <v>19</v>
      </c>
      <c r="B983" t="s">
        <v>29</v>
      </c>
      <c r="C983" t="s">
        <v>38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25">
      <c r="A984" t="s">
        <v>19</v>
      </c>
      <c r="B984" t="s">
        <v>9</v>
      </c>
      <c r="C984" t="s">
        <v>38</v>
      </c>
      <c r="D984" t="s">
        <v>11</v>
      </c>
      <c r="E984" t="s">
        <v>16</v>
      </c>
      <c r="F984">
        <v>79</v>
      </c>
      <c r="G984">
        <v>85</v>
      </c>
      <c r="H984">
        <v>86</v>
      </c>
    </row>
    <row r="985" spans="1:8" x14ac:dyDescent="0.25">
      <c r="A985" t="s">
        <v>8</v>
      </c>
      <c r="B985" t="s">
        <v>20</v>
      </c>
      <c r="C985" t="s">
        <v>15</v>
      </c>
      <c r="D985" t="s">
        <v>11</v>
      </c>
      <c r="E985" t="s">
        <v>16</v>
      </c>
      <c r="F985">
        <v>78</v>
      </c>
      <c r="G985">
        <v>87</v>
      </c>
      <c r="H985">
        <v>91</v>
      </c>
    </row>
    <row r="986" spans="1:8" x14ac:dyDescent="0.25">
      <c r="A986" t="s">
        <v>8</v>
      </c>
      <c r="B986" t="s">
        <v>14</v>
      </c>
      <c r="C986" t="s">
        <v>38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25">
      <c r="A987" t="s">
        <v>19</v>
      </c>
      <c r="B987" t="s">
        <v>20</v>
      </c>
      <c r="C987" t="s">
        <v>30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25">
      <c r="A988" t="s">
        <v>8</v>
      </c>
      <c r="B988" t="s">
        <v>14</v>
      </c>
      <c r="C988" t="s">
        <v>21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25">
      <c r="A989" t="s">
        <v>19</v>
      </c>
      <c r="B989" t="s">
        <v>39</v>
      </c>
      <c r="C989" t="s">
        <v>38</v>
      </c>
      <c r="D989" t="s">
        <v>11</v>
      </c>
      <c r="E989" t="s">
        <v>16</v>
      </c>
      <c r="F989">
        <v>81</v>
      </c>
      <c r="G989">
        <v>75</v>
      </c>
      <c r="H989">
        <v>76</v>
      </c>
    </row>
    <row r="990" spans="1:8" x14ac:dyDescent="0.25">
      <c r="A990" t="s">
        <v>8</v>
      </c>
      <c r="B990" t="s">
        <v>20</v>
      </c>
      <c r="C990" t="s">
        <v>38</v>
      </c>
      <c r="D990" t="s">
        <v>22</v>
      </c>
      <c r="E990" t="s">
        <v>12</v>
      </c>
      <c r="F990">
        <v>44</v>
      </c>
      <c r="G990">
        <v>45</v>
      </c>
      <c r="H990">
        <v>45</v>
      </c>
    </row>
    <row r="991" spans="1:8" x14ac:dyDescent="0.25">
      <c r="A991" t="s">
        <v>8</v>
      </c>
      <c r="B991" t="s">
        <v>29</v>
      </c>
      <c r="C991" t="s">
        <v>15</v>
      </c>
      <c r="D991" t="s">
        <v>22</v>
      </c>
      <c r="E991" t="s">
        <v>16</v>
      </c>
      <c r="F991">
        <v>67</v>
      </c>
      <c r="G991">
        <v>86</v>
      </c>
      <c r="H991">
        <v>83</v>
      </c>
    </row>
    <row r="992" spans="1:8" x14ac:dyDescent="0.25">
      <c r="A992" t="s">
        <v>19</v>
      </c>
      <c r="B992" t="s">
        <v>39</v>
      </c>
      <c r="C992" t="s">
        <v>30</v>
      </c>
      <c r="D992" t="s">
        <v>22</v>
      </c>
      <c r="E992" t="s">
        <v>16</v>
      </c>
      <c r="F992">
        <v>86</v>
      </c>
      <c r="G992">
        <v>81</v>
      </c>
      <c r="H992">
        <v>75</v>
      </c>
    </row>
    <row r="993" spans="1:8" x14ac:dyDescent="0.25">
      <c r="A993" t="s">
        <v>8</v>
      </c>
      <c r="B993" t="s">
        <v>9</v>
      </c>
      <c r="C993" t="s">
        <v>38</v>
      </c>
      <c r="D993" t="s">
        <v>11</v>
      </c>
      <c r="E993" t="s">
        <v>16</v>
      </c>
      <c r="F993">
        <v>65</v>
      </c>
      <c r="G993">
        <v>82</v>
      </c>
      <c r="H993">
        <v>78</v>
      </c>
    </row>
    <row r="994" spans="1:8" x14ac:dyDescent="0.25">
      <c r="A994" t="s">
        <v>8</v>
      </c>
      <c r="B994" t="s">
        <v>29</v>
      </c>
      <c r="C994" t="s">
        <v>21</v>
      </c>
      <c r="D994" t="s">
        <v>22</v>
      </c>
      <c r="E994" t="s">
        <v>12</v>
      </c>
      <c r="F994">
        <v>55</v>
      </c>
      <c r="G994">
        <v>76</v>
      </c>
      <c r="H994">
        <v>76</v>
      </c>
    </row>
    <row r="995" spans="1:8" x14ac:dyDescent="0.25">
      <c r="A995" t="s">
        <v>8</v>
      </c>
      <c r="B995" t="s">
        <v>29</v>
      </c>
      <c r="C995" t="s">
        <v>10</v>
      </c>
      <c r="D995" t="s">
        <v>22</v>
      </c>
      <c r="E995" t="s">
        <v>12</v>
      </c>
      <c r="F995">
        <v>62</v>
      </c>
      <c r="G995">
        <v>72</v>
      </c>
      <c r="H995">
        <v>74</v>
      </c>
    </row>
    <row r="996" spans="1:8" x14ac:dyDescent="0.25">
      <c r="A996" t="s">
        <v>19</v>
      </c>
      <c r="B996" t="s">
        <v>20</v>
      </c>
      <c r="C996" t="s">
        <v>30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25">
      <c r="A997" t="s">
        <v>8</v>
      </c>
      <c r="B997" t="s">
        <v>39</v>
      </c>
      <c r="C997" t="s">
        <v>18</v>
      </c>
      <c r="D997" t="s">
        <v>11</v>
      </c>
      <c r="E997" t="s">
        <v>16</v>
      </c>
      <c r="F997">
        <v>88</v>
      </c>
      <c r="G997">
        <v>99</v>
      </c>
      <c r="H997">
        <v>95</v>
      </c>
    </row>
    <row r="998" spans="1:8" x14ac:dyDescent="0.25">
      <c r="A998" t="s">
        <v>19</v>
      </c>
      <c r="B998" t="s">
        <v>14</v>
      </c>
      <c r="C998" t="s">
        <v>30</v>
      </c>
      <c r="D998" t="s">
        <v>22</v>
      </c>
      <c r="E998" t="s">
        <v>12</v>
      </c>
      <c r="F998">
        <v>62</v>
      </c>
      <c r="G998">
        <v>55</v>
      </c>
      <c r="H998">
        <v>55</v>
      </c>
    </row>
    <row r="999" spans="1:8" x14ac:dyDescent="0.25">
      <c r="A999" t="s">
        <v>8</v>
      </c>
      <c r="B999" t="s">
        <v>14</v>
      </c>
      <c r="C999" t="s">
        <v>30</v>
      </c>
      <c r="D999" t="s">
        <v>22</v>
      </c>
      <c r="E999" t="s">
        <v>16</v>
      </c>
      <c r="F999">
        <v>59</v>
      </c>
      <c r="G999">
        <v>71</v>
      </c>
      <c r="H999">
        <v>65</v>
      </c>
    </row>
    <row r="1000" spans="1:8" x14ac:dyDescent="0.25">
      <c r="A1000" t="s">
        <v>8</v>
      </c>
      <c r="B1000" t="s">
        <v>29</v>
      </c>
      <c r="C1000" t="s">
        <v>15</v>
      </c>
      <c r="D1000" t="s">
        <v>11</v>
      </c>
      <c r="E1000" t="s">
        <v>16</v>
      </c>
      <c r="F1000">
        <v>68</v>
      </c>
      <c r="G1000">
        <v>78</v>
      </c>
      <c r="H1000">
        <v>77</v>
      </c>
    </row>
    <row r="1001" spans="1:8" x14ac:dyDescent="0.25">
      <c r="A1001" t="s">
        <v>8</v>
      </c>
      <c r="B1001" t="s">
        <v>29</v>
      </c>
      <c r="C1001" t="s">
        <v>15</v>
      </c>
      <c r="D1001" t="s">
        <v>22</v>
      </c>
      <c r="E1001" t="s">
        <v>12</v>
      </c>
      <c r="F1001">
        <v>77</v>
      </c>
      <c r="G1001">
        <v>86</v>
      </c>
      <c r="H1001">
        <v>86</v>
      </c>
    </row>
  </sheetData>
  <mergeCells count="4">
    <mergeCell ref="M34:P34"/>
    <mergeCell ref="M23:P23"/>
    <mergeCell ref="M26:P26"/>
    <mergeCell ref="M30:P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Jeniffer</dc:creator>
  <cp:lastModifiedBy>Jeniffer</cp:lastModifiedBy>
  <dcterms:created xsi:type="dcterms:W3CDTF">2021-02-18T14:01:05Z</dcterms:created>
  <dcterms:modified xsi:type="dcterms:W3CDTF">2021-02-21T04:38:55Z</dcterms:modified>
</cp:coreProperties>
</file>